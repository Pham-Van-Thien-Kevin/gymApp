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AUG2026" sheetId="2" r:id="rId6"/>
    <sheet state="visible" name="JUL2026" sheetId="3" r:id="rId7"/>
    <sheet state="visible" name="RPE" sheetId="4" r:id="rId8"/>
    <sheet state="visible" name="Externals" sheetId="5" r:id="rId9"/>
  </sheets>
  <definedNames/>
  <calcPr/>
</workbook>
</file>

<file path=xl/sharedStrings.xml><?xml version="1.0" encoding="utf-8"?>
<sst xmlns="http://schemas.openxmlformats.org/spreadsheetml/2006/main" count="1455" uniqueCount="247">
  <si>
    <t>Naam</t>
  </si>
  <si>
    <t>Kevin Pham</t>
  </si>
  <si>
    <t>Geboorte datum</t>
  </si>
  <si>
    <t>UITLEG OVER BLOCK</t>
  </si>
  <si>
    <t>Vietnam war</t>
  </si>
  <si>
    <t>Leeftijd</t>
  </si>
  <si>
    <t>Sex?</t>
  </si>
  <si>
    <t>M</t>
  </si>
  <si>
    <t>Job</t>
  </si>
  <si>
    <t>Professional cuck</t>
  </si>
  <si>
    <t>Start Datum</t>
  </si>
  <si>
    <t>Dit block bestaat uit 3 weken waardoor we starten op een hogere RPE en dit block gaan we ook tot RPE 9 op de  
compounds.
Voel je je minder dan doe je minder gewicht maar een gewicht dat nog steeds passend is bij de gegeven RPE.
EET IETS VAN CARBS VOOR U SESSIES ZEKER U VOOR U PRIMARY SESSIE MONKEY. 
Goeie source van carbs voor u sessie: Banaan, snoep, brood, AA drink, gewoon iets me suikers.</t>
  </si>
  <si>
    <t>Starting Bench</t>
  </si>
  <si>
    <t>Starting Deadlift</t>
  </si>
  <si>
    <t>Beschikbare oefening</t>
  </si>
  <si>
    <t>Legs</t>
  </si>
  <si>
    <t>Bench</t>
  </si>
  <si>
    <t>Deadlift</t>
  </si>
  <si>
    <t>Andere</t>
  </si>
  <si>
    <t>Beltsquat</t>
  </si>
  <si>
    <t>Chest press</t>
  </si>
  <si>
    <t>Hyperextensions</t>
  </si>
  <si>
    <t>Bayesian curl</t>
  </si>
  <si>
    <t>Leg extension</t>
  </si>
  <si>
    <t xml:space="preserve">DB press </t>
  </si>
  <si>
    <t>T-bar row</t>
  </si>
  <si>
    <t>alternating bicep curl</t>
  </si>
  <si>
    <t xml:space="preserve">Hamstring curl </t>
  </si>
  <si>
    <t>Incline chest press</t>
  </si>
  <si>
    <t>chest supported row</t>
  </si>
  <si>
    <t>Hammer curl</t>
  </si>
  <si>
    <t>Legpress</t>
  </si>
  <si>
    <t>pec flies</t>
  </si>
  <si>
    <t>lat pulldown</t>
  </si>
  <si>
    <t>Hacksquat</t>
  </si>
  <si>
    <t>tricep</t>
  </si>
  <si>
    <t>Pull ups(weighted)</t>
  </si>
  <si>
    <t>Adductor</t>
  </si>
  <si>
    <t>High to low row</t>
  </si>
  <si>
    <t>Abductor</t>
  </si>
  <si>
    <t>SESSIE 1</t>
  </si>
  <si>
    <t>Iso lateral high row</t>
  </si>
  <si>
    <t>Calves</t>
  </si>
  <si>
    <t>Maandag</t>
  </si>
  <si>
    <t>SETS</t>
  </si>
  <si>
    <t>REPS</t>
  </si>
  <si>
    <t>INTENSITEIT</t>
  </si>
  <si>
    <t>GEWICHT</t>
  </si>
  <si>
    <t>Max Bench</t>
  </si>
  <si>
    <t>ECHTE RPE</t>
  </si>
  <si>
    <t>NOTITIES</t>
  </si>
  <si>
    <t>Max Deadlift</t>
  </si>
  <si>
    <t>Max Squat</t>
  </si>
  <si>
    <t>WEEK 1</t>
  </si>
  <si>
    <t>Totaal</t>
  </si>
  <si>
    <t>WEEK 2</t>
  </si>
  <si>
    <t>WEEK 3</t>
  </si>
  <si>
    <t>WEEK 4</t>
  </si>
  <si>
    <t>WEEK 5</t>
  </si>
  <si>
    <t>Belt squat</t>
  </si>
  <si>
    <t>RPE 5</t>
  </si>
  <si>
    <t>Belt squat (hack squat)</t>
  </si>
  <si>
    <t>Blok</t>
  </si>
  <si>
    <t>Squat</t>
  </si>
  <si>
    <t>RPE 6</t>
  </si>
  <si>
    <t xml:space="preserve">Bench </t>
  </si>
  <si>
    <t xml:space="preserve">Deadlift </t>
  </si>
  <si>
    <t xml:space="preserve">Belt squat </t>
  </si>
  <si>
    <t>Blok 1</t>
  </si>
  <si>
    <t>RPE 7</t>
  </si>
  <si>
    <t>Error</t>
  </si>
  <si>
    <t>Bodyweight gedaan vanwege krampen</t>
  </si>
  <si>
    <t>RPE 7-8</t>
  </si>
  <si>
    <t xml:space="preserve"> RPE 5</t>
  </si>
  <si>
    <t>Blok 2</t>
  </si>
  <si>
    <t xml:space="preserve"> RPE 6</t>
  </si>
  <si>
    <t>Blok 3</t>
  </si>
  <si>
    <t>Blok 4</t>
  </si>
  <si>
    <t>Blok 5</t>
  </si>
  <si>
    <t>Close grip bench</t>
  </si>
  <si>
    <t>Blok 6</t>
  </si>
  <si>
    <t>Blok 7</t>
  </si>
  <si>
    <t>Blok 8</t>
  </si>
  <si>
    <t>75 = rpe 8</t>
  </si>
  <si>
    <t>Blok 9</t>
  </si>
  <si>
    <t>RPE 8</t>
  </si>
  <si>
    <t>80 ezzzzz</t>
  </si>
  <si>
    <t>Blok 10</t>
  </si>
  <si>
    <t>Leg extensions</t>
  </si>
  <si>
    <t>Blok 11</t>
  </si>
  <si>
    <t>RPE 7,5</t>
  </si>
  <si>
    <t>Blok 12</t>
  </si>
  <si>
    <t>RPE 9</t>
  </si>
  <si>
    <t>RPE 8-8,5</t>
  </si>
  <si>
    <t>6 - 7</t>
  </si>
  <si>
    <t>Squats lukken maar veel zeer aan abductors</t>
  </si>
  <si>
    <t>RPE 8,5</t>
  </si>
  <si>
    <t>Chest supported row</t>
  </si>
  <si>
    <t xml:space="preserve"> RPE 8</t>
  </si>
  <si>
    <t xml:space="preserve">Te licht </t>
  </si>
  <si>
    <t xml:space="preserve"> RPE 8-8,5</t>
  </si>
  <si>
    <t>95 overshoot</t>
  </si>
  <si>
    <t xml:space="preserve">RPE 8 </t>
  </si>
  <si>
    <t>85-80</t>
  </si>
  <si>
    <t>Prep vo morgen</t>
  </si>
  <si>
    <t>Lat pulldown</t>
  </si>
  <si>
    <t>Single arm bicep curl</t>
  </si>
  <si>
    <t>Rpe 8-8,5</t>
  </si>
  <si>
    <t>CARDIO</t>
  </si>
  <si>
    <t>SOORT</t>
  </si>
  <si>
    <t>(DUUR)</t>
  </si>
  <si>
    <t>JA</t>
  </si>
  <si>
    <t>Airbike</t>
  </si>
  <si>
    <t>30"</t>
  </si>
  <si>
    <t>NEE</t>
  </si>
  <si>
    <t>SESSIE 2</t>
  </si>
  <si>
    <t>Dinsdag</t>
  </si>
  <si>
    <t>/</t>
  </si>
  <si>
    <t>Loopband (Wandelen)</t>
  </si>
  <si>
    <t>comp deadlift</t>
  </si>
  <si>
    <t>5 - 6</t>
  </si>
  <si>
    <t>Comp deadlift</t>
  </si>
  <si>
    <t>Laatste rep zwaar</t>
  </si>
  <si>
    <t xml:space="preserve"> RPE 7</t>
  </si>
  <si>
    <t>comp bench</t>
  </si>
  <si>
    <t>Rh 12 powergear</t>
  </si>
  <si>
    <t>Comp bench</t>
  </si>
  <si>
    <t>97,2 x2 derde te zwaar</t>
  </si>
  <si>
    <t>RPE5</t>
  </si>
  <si>
    <t>6 - 6,5</t>
  </si>
  <si>
    <t>RPE 10</t>
  </si>
  <si>
    <t>Slechte dag</t>
  </si>
  <si>
    <t>Hamstring curl</t>
  </si>
  <si>
    <t>8 - 8,5</t>
  </si>
  <si>
    <t xml:space="preserve"> RPE 8,5-9</t>
  </si>
  <si>
    <t>Flat DB press</t>
  </si>
  <si>
    <t>20i</t>
  </si>
  <si>
    <t>Incline beter</t>
  </si>
  <si>
    <t>Incline DB press</t>
  </si>
  <si>
    <t>Mag hoger</t>
  </si>
  <si>
    <t>110 failed</t>
  </si>
  <si>
    <t>Standing calf raises</t>
  </si>
  <si>
    <t>12-15</t>
  </si>
  <si>
    <t>Standing calf raises =&gt; s3</t>
  </si>
  <si>
    <t>Hammer curls</t>
  </si>
  <si>
    <t>DATE</t>
  </si>
  <si>
    <t>WEIGHT</t>
  </si>
  <si>
    <t>PROTEIN</t>
  </si>
  <si>
    <t>CARBS</t>
  </si>
  <si>
    <t>FATS</t>
  </si>
  <si>
    <t>CALORIES</t>
  </si>
  <si>
    <t>STEPS</t>
  </si>
  <si>
    <t>SLEEP</t>
  </si>
  <si>
    <t>Adductor machine</t>
  </si>
  <si>
    <t>Stairmaster</t>
  </si>
  <si>
    <t>SESSIE 3</t>
  </si>
  <si>
    <t>Woensdag</t>
  </si>
  <si>
    <t>Zaterdag</t>
  </si>
  <si>
    <t>AVERAGE</t>
  </si>
  <si>
    <t>Tempo bench 3-2-0</t>
  </si>
  <si>
    <t>Volgende week zelfde gewicht</t>
  </si>
  <si>
    <t>Hip trust</t>
  </si>
  <si>
    <t>Tricep pushdown</t>
  </si>
  <si>
    <t>Hyper extensions</t>
  </si>
  <si>
    <t>Alternating bicep curls</t>
  </si>
  <si>
    <t>Alternating bicep curl</t>
  </si>
  <si>
    <t>Rdls gedaan</t>
  </si>
  <si>
    <t>EXTRA OEFENING VAN SESSIE 4 VOOR 3</t>
  </si>
  <si>
    <t>EXTRA OEFENING VAN SESSIE 4</t>
  </si>
  <si>
    <t>SESSIE 4</t>
  </si>
  <si>
    <t>6</t>
  </si>
  <si>
    <t>Wide grip bench</t>
  </si>
  <si>
    <t>Pink op de ringen</t>
  </si>
  <si>
    <t>Romainian deadlifts</t>
  </si>
  <si>
    <t>Romanian deadlifts</t>
  </si>
  <si>
    <t>8</t>
  </si>
  <si>
    <t>Beetje meer oefenen op rdl</t>
  </si>
  <si>
    <t>Slechte form</t>
  </si>
  <si>
    <t>Rear delt flies</t>
  </si>
  <si>
    <t>10-12</t>
  </si>
  <si>
    <t>chest flies</t>
  </si>
  <si>
    <t>Chest flies</t>
  </si>
  <si>
    <t>Pull ups</t>
  </si>
  <si>
    <t>Load indien te licht</t>
  </si>
  <si>
    <t>6-8</t>
  </si>
  <si>
    <t>met weight indien te licht</t>
  </si>
  <si>
    <t>6rep</t>
  </si>
  <si>
    <t>Lateral raise</t>
  </si>
  <si>
    <t>Je mag kiezen tussen machine of cables</t>
  </si>
  <si>
    <t>Wekelijkse recap</t>
  </si>
  <si>
    <t>TRAINING</t>
  </si>
  <si>
    <t>OVERAL FEELING</t>
  </si>
  <si>
    <t>MOTIVATION</t>
  </si>
  <si>
    <t>RPE10</t>
  </si>
  <si>
    <t>PAIN/ACHES</t>
  </si>
  <si>
    <t>SESSIONS DONE</t>
  </si>
  <si>
    <t>RPE9,5</t>
  </si>
  <si>
    <t>RPE9</t>
  </si>
  <si>
    <t>RPE8,5</t>
  </si>
  <si>
    <t>RPE8</t>
  </si>
  <si>
    <t>RPE7,5</t>
  </si>
  <si>
    <t>RPE7</t>
  </si>
  <si>
    <t>RPE6,5</t>
  </si>
  <si>
    <t>RPE6</t>
  </si>
  <si>
    <t>RPE5,5</t>
  </si>
  <si>
    <t>CALCULATOR: enter your given REPS/RPE (write RPE...) and your current 1RM for an appropriate weight</t>
  </si>
  <si>
    <t>CURRENT 1RM</t>
  </si>
  <si>
    <t>NEUTRAAL</t>
  </si>
  <si>
    <t>BAD</t>
  </si>
  <si>
    <t>INTENSITY</t>
  </si>
  <si>
    <t>GOOD</t>
  </si>
  <si>
    <t>RPE5-6</t>
  </si>
  <si>
    <t>RPE3-4</t>
  </si>
  <si>
    <t>RPE1-2</t>
  </si>
  <si>
    <t>HOLY ASS</t>
  </si>
  <si>
    <t>Opmerking/feedback:</t>
  </si>
  <si>
    <t xml:space="preserve">Volgende week locked in </t>
  </si>
  <si>
    <t>MAX EFFORT</t>
  </si>
  <si>
    <t>NO RIR, COULD ADD LOAD</t>
  </si>
  <si>
    <t>1RIR</t>
  </si>
  <si>
    <t>DEFINITELY 1, MAYBE 1 RIR</t>
  </si>
  <si>
    <t>2RIR</t>
  </si>
  <si>
    <t>DEFINITELY 2, MAYBE 3 RIR</t>
  </si>
  <si>
    <t>3RIR</t>
  </si>
  <si>
    <t>4-6RIR</t>
  </si>
  <si>
    <t>LIGHT WORK</t>
  </si>
  <si>
    <t>LIGHT WORK, NO REACTION</t>
  </si>
  <si>
    <t>Calculator</t>
  </si>
  <si>
    <t>Complete</t>
  </si>
  <si>
    <t>E1RM</t>
  </si>
  <si>
    <t>SET VOLUME</t>
  </si>
  <si>
    <t>TONNAGE</t>
  </si>
  <si>
    <t>BENCH</t>
  </si>
  <si>
    <t xml:space="preserve"> </t>
  </si>
  <si>
    <t>DEADLIFT</t>
  </si>
  <si>
    <t>(Hammer curls)</t>
  </si>
  <si>
    <t>(Bicep oefening naar keuze indien je nog goeste hebt)</t>
  </si>
  <si>
    <t>Single arm bicep cable</t>
  </si>
  <si>
    <t>Zondag</t>
  </si>
  <si>
    <t xml:space="preserve">RPE 7 </t>
  </si>
  <si>
    <t>10</t>
  </si>
  <si>
    <t>Shoulder press</t>
  </si>
  <si>
    <t>Dips</t>
  </si>
  <si>
    <t>AMAZING</t>
  </si>
  <si>
    <t>Goeie sessie week 2 bench 🫣</t>
  </si>
  <si>
    <t>🍟 -s +d</t>
  </si>
  <si>
    <t>Overal goede week maar teveel gebencht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</si>
</sst>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ddd d mmmm yyyy"/>
  </numFmts>
  <fonts count="22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sz val="11.0"/>
      <color theme="1"/>
      <name val="Arial"/>
    </font>
    <font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rgb="FFFFFFFF"/>
      <name val="Quattrocento Sans"/>
    </font>
    <font>
      <b/>
      <sz val="11.0"/>
      <color rgb="FFF2F2F2"/>
      <name val="Quattrocento Sans"/>
    </font>
    <font>
      <b/>
      <sz val="15.0"/>
      <color rgb="FFFFFFFF"/>
      <name val="Arial"/>
      <scheme val="minor"/>
    </font>
    <font>
      <b/>
      <sz val="11.0"/>
      <color rgb="FFFFFFFF"/>
      <name val="Calibri"/>
    </font>
    <font>
      <b/>
      <sz val="12.0"/>
      <color rgb="FFFFFFFF"/>
      <name val="Arial"/>
    </font>
    <font>
      <sz val="12.0"/>
      <color theme="1"/>
      <name val="Arial"/>
    </font>
    <font>
      <sz val="11.0"/>
      <color rgb="FFFFFFFF"/>
      <name val="Calibri"/>
    </font>
    <font>
      <b/>
      <sz val="13.0"/>
      <color rgb="FFFFFFFF"/>
      <name val="Arial"/>
    </font>
    <font>
      <sz val="11.0"/>
      <color theme="1"/>
      <name val="Calibri"/>
    </font>
    <font>
      <sz val="11.0"/>
      <color theme="1"/>
      <name val="Aptos Narrow"/>
    </font>
    <font>
      <b/>
      <color theme="1"/>
      <name val="Arial"/>
    </font>
    <font>
      <b/>
      <sz val="21.0"/>
      <color rgb="FFFFFFFF"/>
      <name val="Consolas"/>
    </font>
    <font>
      <sz val="13.0"/>
      <color rgb="FFFFFFFF"/>
      <name val="Arial"/>
    </font>
    <font>
      <b/>
      <sz val="13.0"/>
      <color rgb="FFFFFFF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8EA9DB"/>
        <bgColor rgb="FF8EA9DB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5BDB42"/>
        <bgColor rgb="FF5BDB42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Fill="1" applyFont="1"/>
    <xf borderId="0" fillId="4" fontId="3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readingOrder="0" vertical="bottom"/>
    </xf>
    <xf borderId="0" fillId="6" fontId="4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 vertical="bottom"/>
    </xf>
    <xf borderId="0" fillId="8" fontId="2" numFmtId="0" xfId="0" applyFill="1" applyFont="1"/>
    <xf borderId="0" fillId="7" fontId="3" numFmtId="0" xfId="0" applyAlignment="1" applyFill="1" applyFont="1">
      <alignment horizontal="center" vertical="bottom"/>
    </xf>
    <xf borderId="0" fillId="9" fontId="2" numFmtId="0" xfId="0" applyFill="1" applyFont="1"/>
    <xf borderId="0" fillId="7" fontId="3" numFmtId="164" xfId="0" applyAlignment="1" applyFill="1" applyFont="1" applyNumberFormat="1">
      <alignment horizontal="center" readingOrder="0" vertical="bottom"/>
    </xf>
    <xf borderId="0" fillId="9" fontId="5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9" fontId="6" numFmtId="0" xfId="0" applyAlignment="1" applyFill="1" applyFont="1">
      <alignment vertical="bottom"/>
    </xf>
    <xf borderId="0" fillId="9" fontId="2" numFmtId="0" xfId="0" applyAlignment="1" applyFill="1" applyFont="1">
      <alignment horizontal="center" readingOrder="0"/>
    </xf>
    <xf borderId="0" fillId="6" fontId="2" numFmtId="0" xfId="0" applyAlignment="1" applyFill="1" applyFont="1">
      <alignment readingOrder="0"/>
    </xf>
    <xf borderId="1" fillId="6" fontId="2" numFmtId="0" xfId="0" applyAlignment="1" applyBorder="1" applyFill="1" applyFont="1">
      <alignment readingOrder="0"/>
    </xf>
    <xf borderId="0" fillId="3" fontId="5" numFmtId="0" xfId="0" applyAlignment="1" applyFill="1" applyFont="1">
      <alignment horizontal="left" readingOrder="0"/>
    </xf>
    <xf borderId="0" fillId="9" fontId="2" numFmtId="0" xfId="0" applyAlignment="1" applyFill="1" applyFont="1">
      <alignment readingOrder="0"/>
    </xf>
    <xf borderId="1" fillId="9" fontId="2" numFmtId="0" xfId="0" applyAlignment="1" applyBorder="1" applyFill="1" applyFont="1">
      <alignment readingOrder="0"/>
    </xf>
    <xf borderId="0" fillId="3" fontId="6" numFmtId="0" xfId="0" applyAlignment="1" applyFill="1" applyFont="1">
      <alignment vertical="bottom"/>
    </xf>
    <xf borderId="0" fillId="6" fontId="2" numFmtId="0" xfId="0" applyFill="1" applyFont="1"/>
    <xf borderId="0" fillId="8" fontId="6" numFmtId="0" xfId="0" applyAlignment="1" applyFill="1" applyFont="1">
      <alignment vertical="bottom"/>
    </xf>
    <xf borderId="1" fillId="6" fontId="2" numFmtId="0" xfId="0" applyBorder="1" applyFill="1" applyFont="1"/>
    <xf borderId="1" fillId="9" fontId="2" numFmtId="0" xfId="0" applyBorder="1" applyFill="1" applyFont="1"/>
    <xf borderId="0" fillId="9" fontId="4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8" fontId="4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2" fontId="8" numFmtId="0" xfId="0" applyAlignment="1" applyFill="1" applyFont="1">
      <alignment vertical="bottom"/>
    </xf>
    <xf borderId="0" fillId="2" fontId="8" numFmtId="0" xfId="0" applyAlignment="1" applyFill="1" applyFont="1">
      <alignment horizontal="center" vertical="bottom"/>
    </xf>
    <xf borderId="0" fillId="4" fontId="8" numFmtId="166" xfId="0" applyAlignment="1" applyFill="1" applyFont="1" applyNumberFormat="1">
      <alignment horizontal="right" vertical="bottom"/>
    </xf>
    <xf borderId="0" fillId="4" fontId="6" numFmtId="0" xfId="0" applyAlignment="1" applyFill="1" applyFont="1">
      <alignment vertical="bottom"/>
    </xf>
    <xf borderId="0" fillId="7" fontId="8" numFmtId="166" xfId="0" applyAlignment="1" applyFill="1" applyFont="1" applyNumberFormat="1">
      <alignment horizontal="right" vertical="bottom"/>
    </xf>
    <xf borderId="0" fillId="7" fontId="6" numFmtId="0" xfId="0" applyAlignment="1" applyFill="1" applyFont="1">
      <alignment vertical="bottom"/>
    </xf>
    <xf borderId="0" fillId="7" fontId="9" numFmtId="0" xfId="0" applyAlignment="1" applyFill="1" applyFont="1">
      <alignment vertical="bottom"/>
    </xf>
    <xf borderId="0" fillId="7" fontId="9" numFmtId="0" xfId="0" applyAlignment="1" applyFill="1" applyFont="1">
      <alignment horizontal="center" vertical="bottom"/>
    </xf>
    <xf borderId="0" fillId="0" fontId="6" numFmtId="0" xfId="0" applyAlignment="1" applyFont="1">
      <alignment vertical="bottom"/>
    </xf>
    <xf borderId="0" fillId="0" fontId="2" numFmtId="0" xfId="0" applyFont="1"/>
    <xf borderId="0" fillId="0" fontId="2" numFmtId="49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4" fontId="6" numFmtId="0" xfId="0" applyAlignment="1" applyFill="1" applyFont="1">
      <alignment readingOrder="0" vertical="bottom"/>
    </xf>
    <xf borderId="0" fillId="3" fontId="8" numFmtId="0" xfId="0" applyAlignment="1" applyFill="1" applyFont="1">
      <alignment vertical="bottom"/>
    </xf>
    <xf borderId="0" fillId="3" fontId="8" numFmtId="0" xfId="0" applyAlignment="1" applyFill="1" applyFont="1">
      <alignment horizontal="center" vertical="bottom"/>
    </xf>
    <xf borderId="0" fillId="3" fontId="8" numFmtId="166" xfId="0" applyAlignment="1" applyFill="1" applyFont="1" applyNumberFormat="1">
      <alignment horizontal="right" vertical="bottom"/>
    </xf>
    <xf borderId="0" fillId="3" fontId="9" numFmtId="0" xfId="0" applyAlignment="1" applyFill="1" applyFont="1">
      <alignment vertical="bottom"/>
    </xf>
    <xf borderId="0" fillId="3" fontId="9" numFmtId="0" xfId="0" applyAlignment="1" applyFill="1" applyFont="1">
      <alignment horizontal="center" vertical="bottom"/>
    </xf>
    <xf borderId="0" fillId="2" fontId="6" numFmtId="0" xfId="0" applyAlignment="1" applyFill="1" applyFont="1">
      <alignment vertical="bottom"/>
    </xf>
    <xf borderId="0" fillId="9" fontId="10" numFmtId="0" xfId="0" applyAlignment="1" applyFill="1" applyFont="1">
      <alignment horizontal="center" readingOrder="0"/>
    </xf>
    <xf borderId="0" fillId="2" fontId="11" numFmtId="0" xfId="0" applyAlignment="1" applyFill="1" applyFont="1">
      <alignment horizontal="center" vertical="bottom"/>
    </xf>
    <xf borderId="0" fillId="9" fontId="4" numFmtId="0" xfId="0" applyAlignment="1" applyFill="1" applyFont="1">
      <alignment readingOrder="0"/>
    </xf>
    <xf borderId="0" fillId="7" fontId="12" numFmtId="0" xfId="0" applyAlignment="1" applyFill="1" applyFont="1">
      <alignment vertical="bottom"/>
    </xf>
    <xf borderId="0" fillId="7" fontId="13" numFmtId="0" xfId="0" applyAlignment="1" applyFill="1" applyFont="1">
      <alignment horizontal="center" vertical="bottom"/>
    </xf>
    <xf borderId="0" fillId="4" fontId="12" numFmtId="0" xfId="0" applyAlignment="1" applyFill="1" applyFont="1">
      <alignment vertical="bottom"/>
    </xf>
    <xf borderId="0" fillId="4" fontId="13" numFmtId="0" xfId="0" applyAlignment="1" applyFill="1" applyFont="1">
      <alignment horizontal="center" vertical="bottom"/>
    </xf>
    <xf borderId="0" fillId="9" fontId="11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vertical="bottom"/>
    </xf>
    <xf borderId="0" fillId="11" fontId="11" numFmtId="0" xfId="0" applyAlignment="1" applyFill="1" applyFont="1">
      <alignment horizontal="center" vertical="bottom"/>
    </xf>
    <xf borderId="0" fillId="12" fontId="11" numFmtId="0" xfId="0" applyAlignment="1" applyFill="1" applyFont="1">
      <alignment horizontal="center" vertical="bottom"/>
    </xf>
    <xf borderId="0" fillId="13" fontId="11" numFmtId="0" xfId="0" applyAlignment="1" applyFill="1" applyFont="1">
      <alignment horizontal="center" vertical="bottom"/>
    </xf>
    <xf borderId="0" fillId="14" fontId="11" numFmtId="0" xfId="0" applyAlignment="1" applyFill="1" applyFont="1">
      <alignment horizontal="center" vertical="bottom"/>
    </xf>
    <xf borderId="0" fillId="15" fontId="11" numFmtId="0" xfId="0" applyAlignment="1" applyFill="1" applyFont="1">
      <alignment horizontal="center" vertical="bottom"/>
    </xf>
    <xf borderId="0" fillId="16" fontId="11" numFmtId="0" xfId="0" applyAlignment="1" applyFill="1" applyFont="1">
      <alignment horizontal="center" vertical="bottom"/>
    </xf>
    <xf borderId="0" fillId="17" fontId="11" numFmtId="0" xfId="0" applyAlignment="1" applyFill="1" applyFont="1">
      <alignment horizontal="center" vertical="bottom"/>
    </xf>
    <xf borderId="0" fillId="7" fontId="11" numFmtId="0" xfId="0" applyAlignment="1" applyFill="1" applyFont="1">
      <alignment horizontal="center" vertical="bottom"/>
    </xf>
    <xf borderId="0" fillId="18" fontId="11" numFmtId="0" xfId="0" applyAlignment="1" applyFill="1" applyFont="1">
      <alignment horizontal="center" vertical="bottom"/>
    </xf>
    <xf borderId="0" fillId="19" fontId="2" numFmtId="0" xfId="0" applyFill="1" applyFont="1"/>
    <xf borderId="0" fillId="19" fontId="2" numFmtId="0" xfId="0" applyAlignment="1" applyFill="1" applyFont="1">
      <alignment readingOrder="0"/>
    </xf>
    <xf borderId="0" fillId="0" fontId="7" numFmtId="0" xfId="0" applyFont="1"/>
    <xf borderId="0" fillId="9" fontId="14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center" vertical="bottom"/>
    </xf>
    <xf borderId="0" fillId="8" fontId="14" numFmtId="0" xfId="0" applyAlignment="1" applyFill="1" applyFont="1">
      <alignment horizontal="center" vertical="bottom"/>
    </xf>
    <xf borderId="0" fillId="3" fontId="11" numFmtId="0" xfId="0" applyAlignment="1" applyFill="1" applyFont="1">
      <alignment horizontal="center" vertical="bottom"/>
    </xf>
    <xf borderId="0" fillId="9" fontId="15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vertical="bottom"/>
    </xf>
    <xf borderId="0" fillId="3" fontId="16" numFmtId="0" xfId="0" applyAlignment="1" applyFill="1" applyFont="1">
      <alignment horizontal="right" vertical="bottom"/>
    </xf>
    <xf borderId="0" fillId="3" fontId="17" numFmtId="0" xfId="0" applyAlignment="1" applyFill="1" applyFont="1">
      <alignment horizontal="center" vertical="bottom"/>
    </xf>
    <xf borderId="0" fillId="3" fontId="18" numFmtId="0" xfId="0" applyAlignment="1" applyFill="1" applyFont="1">
      <alignment horizontal="center" vertical="bottom"/>
    </xf>
    <xf borderId="0" fillId="8" fontId="19" numFmtId="0" xfId="0" applyAlignment="1" applyFill="1" applyFont="1">
      <alignment horizontal="center"/>
    </xf>
    <xf borderId="0" fillId="8" fontId="20" numFmtId="0" xfId="0" applyAlignment="1" applyFill="1" applyFont="1">
      <alignment horizontal="center" shrinkToFit="0" wrapText="1"/>
    </xf>
    <xf borderId="0" fillId="9" fontId="2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31">
    <tableStyle count="3" pivot="0" name="JUL2026-style">
      <tableStyleElement dxfId="1" type="headerRow"/>
      <tableStyleElement dxfId="2" type="firstRowStripe"/>
      <tableStyleElement dxfId="3" type="secondRowStripe"/>
    </tableStyle>
    <tableStyle count="3" pivot="0" name="JUL2026-style 2">
      <tableStyleElement dxfId="1" type="headerRow"/>
      <tableStyleElement dxfId="2" type="firstRowStripe"/>
      <tableStyleElement dxfId="3" type="secondRowStripe"/>
    </tableStyle>
    <tableStyle count="3" pivot="0" name="JUL2026-style 3">
      <tableStyleElement dxfId="1" type="headerRow"/>
      <tableStyleElement dxfId="2" type="firstRowStripe"/>
      <tableStyleElement dxfId="3" type="secondRowStripe"/>
    </tableStyle>
    <tableStyle count="3" pivot="0" name="AUG2026-style">
      <tableStyleElement dxfId="1" type="headerRow"/>
      <tableStyleElement dxfId="2" type="firstRowStripe"/>
      <tableStyleElement dxfId="3" type="secondRowStripe"/>
    </tableStyle>
    <tableStyle count="3" pivot="0" name="JUL2026-style 4">
      <tableStyleElement dxfId="1" type="headerRow"/>
      <tableStyleElement dxfId="2" type="firstRowStripe"/>
      <tableStyleElement dxfId="3" type="secondRowStripe"/>
    </tableStyle>
    <tableStyle count="3" pivot="0" name="JUL2026-style 5">
      <tableStyleElement dxfId="1" type="headerRow"/>
      <tableStyleElement dxfId="2" type="firstRowStripe"/>
      <tableStyleElement dxfId="3" type="secondRowStripe"/>
    </tableStyle>
    <tableStyle count="3" pivot="0" name="AUG2026-style 2">
      <tableStyleElement dxfId="1" type="headerRow"/>
      <tableStyleElement dxfId="2" type="firstRowStripe"/>
      <tableStyleElement dxfId="3" type="secondRowStripe"/>
    </tableStyle>
    <tableStyle count="3" pivot="0" name="JUL2026-style 6">
      <tableStyleElement dxfId="1" type="headerRow"/>
      <tableStyleElement dxfId="2" type="firstRowStripe"/>
      <tableStyleElement dxfId="3" type="secondRowStripe"/>
    </tableStyle>
    <tableStyle count="3" pivot="0" name="JUL2026-style 7">
      <tableStyleElement dxfId="1" type="headerRow"/>
      <tableStyleElement dxfId="2" type="firstRowStripe"/>
      <tableStyleElement dxfId="3" type="secondRowStripe"/>
    </tableStyle>
    <tableStyle count="3" pivot="0" name="JUL2026-style 8">
      <tableStyleElement dxfId="1" type="headerRow"/>
      <tableStyleElement dxfId="2" type="firstRowStripe"/>
      <tableStyleElement dxfId="3" type="secondRowStripe"/>
    </tableStyle>
    <tableStyle count="3" pivot="0" name="JUL2026-style 9">
      <tableStyleElement dxfId="1" type="headerRow"/>
      <tableStyleElement dxfId="2" type="firstRowStripe"/>
      <tableStyleElement dxfId="3" type="secondRowStripe"/>
    </tableStyle>
    <tableStyle count="3" pivot="0" name="JUL2026-style 10">
      <tableStyleElement dxfId="1" type="headerRow"/>
      <tableStyleElement dxfId="2" type="firstRowStripe"/>
      <tableStyleElement dxfId="3" type="secondRowStripe"/>
    </tableStyle>
    <tableStyle count="3" pivot="0" name="JUL2026-style 11">
      <tableStyleElement dxfId="1" type="headerRow"/>
      <tableStyleElement dxfId="2" type="firstRowStripe"/>
      <tableStyleElement dxfId="3" type="secondRowStripe"/>
    </tableStyle>
    <tableStyle count="3" pivot="0" name="JUL2026-style 12">
      <tableStyleElement dxfId="1" type="headerRow"/>
      <tableStyleElement dxfId="2" type="firstRowStripe"/>
      <tableStyleElement dxfId="3" type="secondRowStripe"/>
    </tableStyle>
    <tableStyle count="3" pivot="0" name="JUL2026-style 13">
      <tableStyleElement dxfId="1" type="headerRow"/>
      <tableStyleElement dxfId="2" type="firstRowStripe"/>
      <tableStyleElement dxfId="3" type="secondRowStripe"/>
    </tableStyle>
    <tableStyle count="3" pivot="0" name="JUL2026-style 14">
      <tableStyleElement dxfId="1" type="headerRow"/>
      <tableStyleElement dxfId="2" type="firstRowStripe"/>
      <tableStyleElement dxfId="3" type="secondRowStripe"/>
    </tableStyle>
    <tableStyle count="3" pivot="0" name="JUL2026-style 15">
      <tableStyleElement dxfId="1" type="headerRow"/>
      <tableStyleElement dxfId="2" type="firstRowStripe"/>
      <tableStyleElement dxfId="3" type="secondRowStripe"/>
    </tableStyle>
    <tableStyle count="3" pivot="0" name="JUL2026-style 16">
      <tableStyleElement dxfId="1" type="headerRow"/>
      <tableStyleElement dxfId="2" type="firstRowStripe"/>
      <tableStyleElement dxfId="3" type="secondRowStripe"/>
    </tableStyle>
    <tableStyle count="3" pivot="0" name="JUL2026-style 17">
      <tableStyleElement dxfId="1" type="headerRow"/>
      <tableStyleElement dxfId="2" type="firstRowStripe"/>
      <tableStyleElement dxfId="3" type="secondRowStripe"/>
    </tableStyle>
    <tableStyle count="3" pivot="0" name="JUL2026-style 18">
      <tableStyleElement dxfId="1" type="headerRow"/>
      <tableStyleElement dxfId="2" type="firstRowStripe"/>
      <tableStyleElement dxfId="3" type="secondRowStripe"/>
    </tableStyle>
    <tableStyle count="3" pivot="0" name="JUL2026-style 19">
      <tableStyleElement dxfId="1" type="headerRow"/>
      <tableStyleElement dxfId="2" type="firstRowStripe"/>
      <tableStyleElement dxfId="3" type="secondRowStripe"/>
    </tableStyle>
    <tableStyle count="3" pivot="0" name="AUG2026-style 3">
      <tableStyleElement dxfId="1" type="headerRow"/>
      <tableStyleElement dxfId="2" type="firstRowStripe"/>
      <tableStyleElement dxfId="3" type="secondRowStripe"/>
    </tableStyle>
    <tableStyle count="3" pivot="0" name="JUL2026-style 20">
      <tableStyleElement dxfId="1" type="headerRow"/>
      <tableStyleElement dxfId="2" type="firstRowStripe"/>
      <tableStyleElement dxfId="3" type="secondRowStripe"/>
    </tableStyle>
    <tableStyle count="3" pivot="0" name="JUL2026-style 21">
      <tableStyleElement dxfId="1" type="headerRow"/>
      <tableStyleElement dxfId="2" type="firstRowStripe"/>
      <tableStyleElement dxfId="3" type="secondRowStripe"/>
    </tableStyle>
    <tableStyle count="3" pivot="0" name="AUG2026-style 4">
      <tableStyleElement dxfId="1" type="headerRow"/>
      <tableStyleElement dxfId="2" type="firstRowStripe"/>
      <tableStyleElement dxfId="3" type="secondRowStripe"/>
    </tableStyle>
    <tableStyle count="3" pivot="0" name="JUL2026-style 22">
      <tableStyleElement dxfId="1" type="headerRow"/>
      <tableStyleElement dxfId="2" type="firstRowStripe"/>
      <tableStyleElement dxfId="3" type="secondRowStripe"/>
    </tableStyle>
    <tableStyle count="3" pivot="0" name="AUG2026-style 5">
      <tableStyleElement dxfId="1" type="headerRow"/>
      <tableStyleElement dxfId="2" type="firstRowStripe"/>
      <tableStyleElement dxfId="3" type="secondRowStripe"/>
    </tableStyle>
    <tableStyle count="3" pivot="0" name="JUL2026-style 23">
      <tableStyleElement dxfId="1" type="headerRow"/>
      <tableStyleElement dxfId="2" type="firstRowStripe"/>
      <tableStyleElement dxfId="3" type="secondRowStripe"/>
    </tableStyle>
    <tableStyle count="3" pivot="0" name="JUL2026-style 24">
      <tableStyleElement dxfId="1" type="headerRow"/>
      <tableStyleElement dxfId="2" type="firstRowStripe"/>
      <tableStyleElement dxfId="3" type="secondRowStripe"/>
    </tableStyle>
    <tableStyle count="3" pivot="0" name="AUG2026-style 6">
      <tableStyleElement dxfId="1" type="headerRow"/>
      <tableStyleElement dxfId="2" type="firstRowStripe"/>
      <tableStyleElement dxfId="3" type="secondRowStripe"/>
    </tableStyle>
    <tableStyle count="3" pivot="0" name="AUG2026-style 7">
      <tableStyleElement dxfId="1" type="headerRow"/>
      <tableStyleElement dxfId="2" type="firstRowStripe"/>
      <tableStyleElement dxfId="3" type="secondRowStripe"/>
    </tableStyle>
    <tableStyle count="3" pivot="0" name="JUL2026-style 25">
      <tableStyleElement dxfId="1" type="headerRow"/>
      <tableStyleElement dxfId="2" type="firstRowStripe"/>
      <tableStyleElement dxfId="3" type="secondRowStripe"/>
    </tableStyle>
    <tableStyle count="3" pivot="0" name="AUG2026-style 8">
      <tableStyleElement dxfId="1" type="headerRow"/>
      <tableStyleElement dxfId="2" type="firstRowStripe"/>
      <tableStyleElement dxfId="3" type="secondRowStripe"/>
    </tableStyle>
    <tableStyle count="3" pivot="0" name="JUL2026-style 26">
      <tableStyleElement dxfId="1" type="headerRow"/>
      <tableStyleElement dxfId="2" type="firstRowStripe"/>
      <tableStyleElement dxfId="3" type="secondRowStripe"/>
    </tableStyle>
    <tableStyle count="3" pivot="0" name="AUG2026-style 9">
      <tableStyleElement dxfId="1" type="headerRow"/>
      <tableStyleElement dxfId="2" type="firstRowStripe"/>
      <tableStyleElement dxfId="3" type="secondRowStripe"/>
    </tableStyle>
    <tableStyle count="3" pivot="0" name="AUG2026-style 10">
      <tableStyleElement dxfId="1" type="headerRow"/>
      <tableStyleElement dxfId="2" type="firstRowStripe"/>
      <tableStyleElement dxfId="3" type="secondRowStripe"/>
    </tableStyle>
    <tableStyle count="3" pivot="0" name="JUL2026-style 27">
      <tableStyleElement dxfId="1" type="headerRow"/>
      <tableStyleElement dxfId="2" type="firstRowStripe"/>
      <tableStyleElement dxfId="3" type="secondRowStripe"/>
    </tableStyle>
    <tableStyle count="3" pivot="0" name="AUG2026-style 11">
      <tableStyleElement dxfId="1" type="headerRow"/>
      <tableStyleElement dxfId="2" type="firstRowStripe"/>
      <tableStyleElement dxfId="3" type="secondRowStripe"/>
    </tableStyle>
    <tableStyle count="3" pivot="0" name="AUG2026-style 12">
      <tableStyleElement dxfId="1" type="headerRow"/>
      <tableStyleElement dxfId="2" type="firstRowStripe"/>
      <tableStyleElement dxfId="3" type="secondRowStripe"/>
    </tableStyle>
    <tableStyle count="3" pivot="0" name="JUL2026-style 28">
      <tableStyleElement dxfId="1" type="headerRow"/>
      <tableStyleElement dxfId="2" type="firstRowStripe"/>
      <tableStyleElement dxfId="3" type="secondRowStripe"/>
    </tableStyle>
    <tableStyle count="3" pivot="0" name="AUG2026-style 13">
      <tableStyleElement dxfId="1" type="headerRow"/>
      <tableStyleElement dxfId="2" type="firstRowStripe"/>
      <tableStyleElement dxfId="3" type="secondRowStripe"/>
    </tableStyle>
    <tableStyle count="3" pivot="0" name="JUL2026-style 29">
      <tableStyleElement dxfId="1" type="headerRow"/>
      <tableStyleElement dxfId="2" type="firstRowStripe"/>
      <tableStyleElement dxfId="3" type="secondRowStripe"/>
    </tableStyle>
    <tableStyle count="3" pivot="0" name="AUG2026-style 14">
      <tableStyleElement dxfId="1" type="headerRow"/>
      <tableStyleElement dxfId="2" type="firstRowStripe"/>
      <tableStyleElement dxfId="3" type="secondRowStripe"/>
    </tableStyle>
    <tableStyle count="3" pivot="0" name="AUG2026-style 15">
      <tableStyleElement dxfId="1" type="headerRow"/>
      <tableStyleElement dxfId="2" type="firstRowStripe"/>
      <tableStyleElement dxfId="3" type="secondRowStripe"/>
    </tableStyle>
    <tableStyle count="3" pivot="0" name="JUL2026-style 30">
      <tableStyleElement dxfId="1" type="headerRow"/>
      <tableStyleElement dxfId="2" type="firstRowStripe"/>
      <tableStyleElement dxfId="3" type="secondRowStripe"/>
    </tableStyle>
    <tableStyle count="3" pivot="0" name="AUG2026-style 16">
      <tableStyleElement dxfId="1" type="headerRow"/>
      <tableStyleElement dxfId="2" type="firstRowStripe"/>
      <tableStyleElement dxfId="3" type="secondRowStripe"/>
    </tableStyle>
    <tableStyle count="3" pivot="0" name="JUL2026-style 31">
      <tableStyleElement dxfId="1" type="headerRow"/>
      <tableStyleElement dxfId="2" type="firstRowStripe"/>
      <tableStyleElement dxfId="3" type="secondRowStripe"/>
    </tableStyle>
    <tableStyle count="3" pivot="0" name="AUG2026-style 17">
      <tableStyleElement dxfId="1" type="headerRow"/>
      <tableStyleElement dxfId="2" type="firstRowStripe"/>
      <tableStyleElement dxfId="3" type="secondRowStripe"/>
    </tableStyle>
    <tableStyle count="3" pivot="0" name="JUL2026-style 32">
      <tableStyleElement dxfId="1" type="headerRow"/>
      <tableStyleElement dxfId="2" type="firstRowStripe"/>
      <tableStyleElement dxfId="3" type="secondRowStripe"/>
    </tableStyle>
    <tableStyle count="3" pivot="0" name="JUL2026-style 33">
      <tableStyleElement dxfId="1" type="headerRow"/>
      <tableStyleElement dxfId="2" type="firstRowStripe"/>
      <tableStyleElement dxfId="3" type="secondRowStripe"/>
    </tableStyle>
    <tableStyle count="3" pivot="0" name="AUG2026-style 18">
      <tableStyleElement dxfId="1" type="headerRow"/>
      <tableStyleElement dxfId="2" type="firstRowStripe"/>
      <tableStyleElement dxfId="3" type="secondRowStripe"/>
    </tableStyle>
    <tableStyle count="3" pivot="0" name="JUL2026-style 34">
      <tableStyleElement dxfId="1" type="headerRow"/>
      <tableStyleElement dxfId="2" type="firstRowStripe"/>
      <tableStyleElement dxfId="3" type="secondRowStripe"/>
    </tableStyle>
    <tableStyle count="3" pivot="0" name="AUG2026-style 19">
      <tableStyleElement dxfId="1" type="headerRow"/>
      <tableStyleElement dxfId="2" type="firstRowStripe"/>
      <tableStyleElement dxfId="3" type="secondRowStripe"/>
    </tableStyle>
    <tableStyle count="3" pivot="0" name="JUL2026-style 35">
      <tableStyleElement dxfId="1" type="headerRow"/>
      <tableStyleElement dxfId="2" type="firstRowStripe"/>
      <tableStyleElement dxfId="3" type="secondRowStripe"/>
    </tableStyle>
    <tableStyle count="3" pivot="0" name="AUG2026-style 20">
      <tableStyleElement dxfId="1" type="headerRow"/>
      <tableStyleElement dxfId="2" type="firstRowStripe"/>
      <tableStyleElement dxfId="3" type="secondRowStripe"/>
    </tableStyle>
    <tableStyle count="3" pivot="0" name="JUL2026-style 36">
      <tableStyleElement dxfId="1" type="headerRow"/>
      <tableStyleElement dxfId="2" type="firstRowStripe"/>
      <tableStyleElement dxfId="3" type="secondRowStripe"/>
    </tableStyle>
    <tableStyle count="3" pivot="0" name="AUG2026-style 21">
      <tableStyleElement dxfId="1" type="headerRow"/>
      <tableStyleElement dxfId="2" type="firstRowStripe"/>
      <tableStyleElement dxfId="3" type="secondRowStripe"/>
    </tableStyle>
    <tableStyle count="3" pivot="0" name="JUL2026-style 37">
      <tableStyleElement dxfId="1" type="headerRow"/>
      <tableStyleElement dxfId="2" type="firstRowStripe"/>
      <tableStyleElement dxfId="3" type="secondRowStripe"/>
    </tableStyle>
    <tableStyle count="3" pivot="0" name="AUG2026-style 22">
      <tableStyleElement dxfId="1" type="headerRow"/>
      <tableStyleElement dxfId="2" type="firstRowStripe"/>
      <tableStyleElement dxfId="3" type="secondRowStripe"/>
    </tableStyle>
    <tableStyle count="3" pivot="0" name="JUL2026-style 38">
      <tableStyleElement dxfId="1" type="headerRow"/>
      <tableStyleElement dxfId="2" type="firstRowStripe"/>
      <tableStyleElement dxfId="3" type="secondRowStripe"/>
    </tableStyle>
    <tableStyle count="3" pivot="0" name="AUG2026-style 23">
      <tableStyleElement dxfId="1" type="headerRow"/>
      <tableStyleElement dxfId="2" type="firstRowStripe"/>
      <tableStyleElement dxfId="3" type="secondRowStripe"/>
    </tableStyle>
    <tableStyle count="3" pivot="0" name="AUG2026-style 24">
      <tableStyleElement dxfId="1" type="headerRow"/>
      <tableStyleElement dxfId="2" type="firstRowStripe"/>
      <tableStyleElement dxfId="3" type="secondRowStripe"/>
    </tableStyle>
    <tableStyle count="3" pivot="0" name="AUG2026-style 25">
      <tableStyleElement dxfId="1" type="headerRow"/>
      <tableStyleElement dxfId="2" type="firstRowStripe"/>
      <tableStyleElement dxfId="3" type="secondRowStripe"/>
    </tableStyle>
    <tableStyle count="3" pivot="0" name="AUG2026-style 26">
      <tableStyleElement dxfId="1" type="headerRow"/>
      <tableStyleElement dxfId="2" type="firstRowStripe"/>
      <tableStyleElement dxfId="3" type="secondRowStripe"/>
    </tableStyle>
    <tableStyle count="3" pivot="0" name="AUG2026-style 27">
      <tableStyleElement dxfId="1" type="headerRow"/>
      <tableStyleElement dxfId="2" type="firstRowStripe"/>
      <tableStyleElement dxfId="3" type="secondRowStripe"/>
    </tableStyle>
    <tableStyle count="3" pivot="0" name="AUG2026-style 28">
      <tableStyleElement dxfId="1" type="headerRow"/>
      <tableStyleElement dxfId="2" type="firstRowStripe"/>
      <tableStyleElement dxfId="3" type="secondRowStripe"/>
    </tableStyle>
    <tableStyle count="3" pivot="0" name="AUG2026-style 29">
      <tableStyleElement dxfId="1" type="headerRow"/>
      <tableStyleElement dxfId="2" type="firstRowStripe"/>
      <tableStyleElement dxfId="3" type="secondRowStripe"/>
    </tableStyle>
    <tableStyle count="3" pivot="0" name="AUG2026-style 30">
      <tableStyleElement dxfId="1" type="headerRow"/>
      <tableStyleElement dxfId="2" type="firstRowStripe"/>
      <tableStyleElement dxfId="3" type="secondRowStripe"/>
    </tableStyle>
    <tableStyle count="3" pivot="0" name="JUL2026-style 39">
      <tableStyleElement dxfId="1" type="headerRow"/>
      <tableStyleElement dxfId="2" type="firstRowStripe"/>
      <tableStyleElement dxfId="3" type="secondRowStripe"/>
    </tableStyle>
    <tableStyle count="3" pivot="0" name="AUG2026-style 31">
      <tableStyleElement dxfId="1" type="headerRow"/>
      <tableStyleElement dxfId="2" type="firstRowStripe"/>
      <tableStyleElement dxfId="3" type="secondRowStripe"/>
    </tableStyle>
    <tableStyle count="3" pivot="0" name="JUL2026-style 40">
      <tableStyleElement dxfId="1" type="headerRow"/>
      <tableStyleElement dxfId="2" type="firstRowStripe"/>
      <tableStyleElement dxfId="3" type="secondRowStripe"/>
    </tableStyle>
    <tableStyle count="3" pivot="0" name="AUG2026-style 32">
      <tableStyleElement dxfId="1" type="headerRow"/>
      <tableStyleElement dxfId="2" type="firstRowStripe"/>
      <tableStyleElement dxfId="3" type="secondRowStripe"/>
    </tableStyle>
    <tableStyle count="3" pivot="0" name="AUG2026-style 33">
      <tableStyleElement dxfId="1" type="headerRow"/>
      <tableStyleElement dxfId="2" type="firstRowStripe"/>
      <tableStyleElement dxfId="3" type="secondRowStripe"/>
    </tableStyle>
    <tableStyle count="3" pivot="0" name="AUG2026-style 34">
      <tableStyleElement dxfId="1" type="headerRow"/>
      <tableStyleElement dxfId="2" type="firstRowStripe"/>
      <tableStyleElement dxfId="3" type="secondRowStripe"/>
    </tableStyle>
    <tableStyle count="3" pivot="0" name="AUG2026-style 35">
      <tableStyleElement dxfId="1" type="headerRow"/>
      <tableStyleElement dxfId="2" type="firstRowStripe"/>
      <tableStyleElement dxfId="3" type="secondRowStripe"/>
    </tableStyle>
    <tableStyle count="3" pivot="0" name="JUL2026-style 41">
      <tableStyleElement dxfId="1" type="headerRow"/>
      <tableStyleElement dxfId="2" type="firstRowStripe"/>
      <tableStyleElement dxfId="3" type="secondRowStripe"/>
    </tableStyle>
    <tableStyle count="3" pivot="0" name="Info-style">
      <tableStyleElement dxfId="1" type="headerRow"/>
      <tableStyleElement dxfId="3" type="firstRowStripe"/>
      <tableStyleElement dxfId="1" type="secondRowStripe"/>
    </tableStyle>
    <tableStyle count="3" pivot="0" name="AUG2026-style 36">
      <tableStyleElement dxfId="1" type="headerRow"/>
      <tableStyleElement dxfId="2" type="firstRowStripe"/>
      <tableStyleElement dxfId="3" type="secondRowStripe"/>
    </tableStyle>
    <tableStyle count="3" pivot="0" name="AUG2026-style 37">
      <tableStyleElement dxfId="1" type="headerRow"/>
      <tableStyleElement dxfId="2" type="firstRowStripe"/>
      <tableStyleElement dxfId="3" type="secondRowStripe"/>
    </tableStyle>
    <tableStyle count="3" pivot="0" name="Info-style 2">
      <tableStyleElement dxfId="1" type="headerRow"/>
      <tableStyleElement dxfId="3" type="firstRowStripe"/>
      <tableStyleElement dxfId="1" type="secondRowStripe"/>
    </tableStyle>
    <tableStyle count="3" pivot="0" name="JUL2026-style 42">
      <tableStyleElement dxfId="1" type="headerRow"/>
      <tableStyleElement dxfId="2" type="firstRowStripe"/>
      <tableStyleElement dxfId="3" type="secondRowStripe"/>
    </tableStyle>
    <tableStyle count="3" pivot="0" name="AUG2026-style 38">
      <tableStyleElement dxfId="1" type="headerRow"/>
      <tableStyleElement dxfId="2" type="firstRowStripe"/>
      <tableStyleElement dxfId="3" type="secondRowStripe"/>
    </tableStyle>
    <tableStyle count="3" pivot="0" name="AUG2026-style 39">
      <tableStyleElement dxfId="1" type="headerRow"/>
      <tableStyleElement dxfId="2" type="firstRowStripe"/>
      <tableStyleElement dxfId="3" type="secondRowStripe"/>
    </tableStyle>
    <tableStyle count="3" pivot="0" name="JUL2026-style 43">
      <tableStyleElement dxfId="1" type="headerRow"/>
      <tableStyleElement dxfId="2" type="firstRowStripe"/>
      <tableStyleElement dxfId="3" type="secondRowStripe"/>
    </tableStyle>
    <tableStyle count="3" pivot="0" name="AUG2026-style 40">
      <tableStyleElement dxfId="1" type="headerRow"/>
      <tableStyleElement dxfId="2" type="firstRowStripe"/>
      <tableStyleElement dxfId="3" type="secondRowStripe"/>
    </tableStyle>
    <tableStyle count="3" pivot="0" name="Info-style 3">
      <tableStyleElement dxfId="1" type="headerRow"/>
      <tableStyleElement dxfId="3" type="firstRowStripe"/>
      <tableStyleElement dxfId="1" type="secondRowStripe"/>
    </tableStyle>
    <tableStyle count="3" pivot="0" name="JUL2026-style 44">
      <tableStyleElement dxfId="1" type="headerRow"/>
      <tableStyleElement dxfId="2" type="firstRowStripe"/>
      <tableStyleElement dxfId="3" type="secondRowStripe"/>
    </tableStyle>
    <tableStyle count="3" pivot="0" name="AUG2026-style 41">
      <tableStyleElement dxfId="1" type="headerRow"/>
      <tableStyleElement dxfId="2" type="firstRowStripe"/>
      <tableStyleElement dxfId="3" type="secondRowStripe"/>
    </tableStyle>
    <tableStyle count="3" pivot="0" name="JUL2026-style 45">
      <tableStyleElement dxfId="1" type="headerRow"/>
      <tableStyleElement dxfId="2" type="firstRowStripe"/>
      <tableStyleElement dxfId="3" type="secondRowStripe"/>
    </tableStyle>
    <tableStyle count="3" pivot="0" name="AUG2026-style 42">
      <tableStyleElement dxfId="1" type="headerRow"/>
      <tableStyleElement dxfId="2" type="firstRowStripe"/>
      <tableStyleElement dxfId="3" type="secondRowStripe"/>
    </tableStyle>
    <tableStyle count="3" pivot="0" name="JUL2026-style 46">
      <tableStyleElement dxfId="1" type="headerRow"/>
      <tableStyleElement dxfId="2" type="firstRowStripe"/>
      <tableStyleElement dxfId="3" type="secondRowStripe"/>
    </tableStyle>
    <tableStyle count="3" pivot="0" name="AUG2026-style 43">
      <tableStyleElement dxfId="1" type="headerRow"/>
      <tableStyleElement dxfId="2" type="firstRowStripe"/>
      <tableStyleElement dxfId="3" type="secondRowStripe"/>
    </tableStyle>
    <tableStyle count="3" pivot="0" name="AUG2026-style 44">
      <tableStyleElement dxfId="1" type="headerRow"/>
      <tableStyleElement dxfId="2" type="firstRowStripe"/>
      <tableStyleElement dxfId="3" type="secondRowStripe"/>
    </tableStyle>
    <tableStyle count="3" pivot="0" name="JUL2026-style 47">
      <tableStyleElement dxfId="1" type="headerRow"/>
      <tableStyleElement dxfId="2" type="firstRowStripe"/>
      <tableStyleElement dxfId="3" type="secondRowStripe"/>
    </tableStyle>
    <tableStyle count="3" pivot="0" name="AUG2026-style 45">
      <tableStyleElement dxfId="1" type="headerRow"/>
      <tableStyleElement dxfId="2" type="firstRowStripe"/>
      <tableStyleElement dxfId="3" type="secondRowStripe"/>
    </tableStyle>
    <tableStyle count="3" pivot="0" name="JUL2026-style 48">
      <tableStyleElement dxfId="1" type="headerRow"/>
      <tableStyleElement dxfId="2" type="firstRowStripe"/>
      <tableStyleElement dxfId="3" type="secondRowStripe"/>
    </tableStyle>
    <tableStyle count="3" pivot="0" name="Info-style 4">
      <tableStyleElement dxfId="4" type="headerRow"/>
      <tableStyleElement dxfId="2" type="firstRowStripe"/>
      <tableStyleElement dxfId="4" type="secondRowStripe"/>
    </tableStyle>
    <tableStyle count="3" pivot="0" name="JUL2026-style 49">
      <tableStyleElement dxfId="1" type="headerRow"/>
      <tableStyleElement dxfId="2" type="firstRowStripe"/>
      <tableStyleElement dxfId="3" type="secondRowStripe"/>
    </tableStyle>
    <tableStyle count="3" pivot="0" name="JUL2026-style 50">
      <tableStyleElement dxfId="1" type="headerRow"/>
      <tableStyleElement dxfId="2" type="firstRowStripe"/>
      <tableStyleElement dxfId="3" type="secondRowStripe"/>
    </tableStyle>
    <tableStyle count="3" pivot="0" name="JUL2026-style 51">
      <tableStyleElement dxfId="1" type="headerRow"/>
      <tableStyleElement dxfId="2" type="firstRowStripe"/>
      <tableStyleElement dxfId="3" type="secondRowStripe"/>
    </tableStyle>
    <tableStyle count="3" pivot="0" name="AUG2026-style 46">
      <tableStyleElement dxfId="1" type="headerRow"/>
      <tableStyleElement dxfId="2" type="firstRowStripe"/>
      <tableStyleElement dxfId="3" type="secondRowStripe"/>
    </tableStyle>
    <tableStyle count="3" pivot="0" name="AUG2026-style 47">
      <tableStyleElement dxfId="1" type="headerRow"/>
      <tableStyleElement dxfId="2" type="firstRowStripe"/>
      <tableStyleElement dxfId="3" type="secondRowStripe"/>
    </tableStyle>
    <tableStyle count="3" pivot="0" name="AUG2026-style 48">
      <tableStyleElement dxfId="1" type="headerRow"/>
      <tableStyleElement dxfId="2" type="firstRowStripe"/>
      <tableStyleElement dxfId="3" type="secondRowStripe"/>
    </tableStyle>
    <tableStyle count="3" pivot="0" name="AUG2026-style 49">
      <tableStyleElement dxfId="1" type="headerRow"/>
      <tableStyleElement dxfId="2" type="firstRowStripe"/>
      <tableStyleElement dxfId="3" type="secondRowStripe"/>
    </tableStyle>
    <tableStyle count="3" pivot="0" name="AUG2026-style 50">
      <tableStyleElement dxfId="1" type="headerRow"/>
      <tableStyleElement dxfId="2" type="firstRowStripe"/>
      <tableStyleElement dxfId="3" type="secondRowStripe"/>
    </tableStyle>
    <tableStyle count="3" pivot="0" name="AUG2026-style 51">
      <tableStyleElement dxfId="1" type="headerRow"/>
      <tableStyleElement dxfId="2" type="firstRowStripe"/>
      <tableStyleElement dxfId="3" type="secondRowStripe"/>
    </tableStyle>
    <tableStyle count="3" pivot="0" name="AUG2026-style 52">
      <tableStyleElement dxfId="1" type="headerRow"/>
      <tableStyleElement dxfId="2" type="firstRowStripe"/>
      <tableStyleElement dxfId="3" type="secondRowStripe"/>
    </tableStyle>
    <tableStyle count="3" pivot="0" name="AUG2026-style 53">
      <tableStyleElement dxfId="1" type="headerRow"/>
      <tableStyleElement dxfId="2" type="firstRowStripe"/>
      <tableStyleElement dxfId="3" type="secondRowStripe"/>
    </tableStyle>
    <tableStyle count="3" pivot="0" name="AUG2026-style 54">
      <tableStyleElement dxfId="1" type="headerRow"/>
      <tableStyleElement dxfId="2" type="firstRowStripe"/>
      <tableStyleElement dxfId="3" type="secondRowStripe"/>
    </tableStyle>
    <tableStyle count="3" pivot="0" name="AUG2026-style 55">
      <tableStyleElement dxfId="1" type="headerRow"/>
      <tableStyleElement dxfId="2" type="firstRowStripe"/>
      <tableStyleElement dxfId="3" type="secondRowStripe"/>
    </tableStyle>
    <tableStyle count="3" pivot="0" name="AUG2026-style 56">
      <tableStyleElement dxfId="1" type="headerRow"/>
      <tableStyleElement dxfId="2" type="firstRowStripe"/>
      <tableStyleElement dxfId="3" type="secondRowStripe"/>
    </tableStyle>
    <tableStyle count="3" pivot="0" name="AUG2026-style 57">
      <tableStyleElement dxfId="1" type="headerRow"/>
      <tableStyleElement dxfId="2" type="firstRowStripe"/>
      <tableStyleElement dxfId="3" type="secondRowStripe"/>
    </tableStyle>
    <tableStyle count="3" pivot="0" name="AUG2026-style 58">
      <tableStyleElement dxfId="1" type="headerRow"/>
      <tableStyleElement dxfId="2" type="firstRowStripe"/>
      <tableStyleElement dxfId="3" type="secondRowStripe"/>
    </tableStyle>
    <tableStyle count="3" pivot="0" name="AUG2026-style 59">
      <tableStyleElement dxfId="1" type="headerRow"/>
      <tableStyleElement dxfId="2" type="firstRowStripe"/>
      <tableStyleElement dxfId="3" type="secondRowStripe"/>
    </tableStyle>
    <tableStyle count="3" pivot="0" name="AUG2026-style 60">
      <tableStyleElement dxfId="1" type="headerRow"/>
      <tableStyleElement dxfId="2" type="firstRowStripe"/>
      <tableStyleElement dxfId="3" type="secondRowStripe"/>
    </tableStyle>
    <tableStyle count="3" pivot="0" name="AUG2026-style 61">
      <tableStyleElement dxfId="1" type="headerRow"/>
      <tableStyleElement dxfId="2" type="firstRowStripe"/>
      <tableStyleElement dxfId="3" type="secondRowStripe"/>
    </tableStyle>
    <tableStyle count="3" pivot="0" name="AUG2026-style 62">
      <tableStyleElement dxfId="1" type="headerRow"/>
      <tableStyleElement dxfId="2" type="firstRowStripe"/>
      <tableStyleElement dxfId="3" type="secondRowStripe"/>
    </tableStyle>
    <tableStyle count="3" pivot="0" name="AUG2026-style 63">
      <tableStyleElement dxfId="1" type="headerRow"/>
      <tableStyleElement dxfId="2" type="firstRowStripe"/>
      <tableStyleElement dxfId="3" type="secondRowStripe"/>
    </tableStyle>
    <tableStyle count="3" pivot="0" name="AUG2026-style 64">
      <tableStyleElement dxfId="1" type="headerRow"/>
      <tableStyleElement dxfId="2" type="firstRowStripe"/>
      <tableStyleElement dxfId="3" type="secondRowStripe"/>
    </tableStyle>
    <tableStyle count="3" pivot="0" name="AUG2026-style 65">
      <tableStyleElement dxfId="1" type="headerRow"/>
      <tableStyleElement dxfId="2" type="firstRowStripe"/>
      <tableStyleElement dxfId="3" type="secondRowStripe"/>
    </tableStyle>
    <tableStyle count="3" pivot="0" name="Externals-style">
      <tableStyleElement dxfId="1" type="headerRow"/>
      <tableStyleElement dxfId="3" type="firstRowStripe"/>
      <tableStyleElement dxfId="1" type="secondRowStripe"/>
    </tableStyle>
    <tableStyle count="3" pivot="0" name="Externals-style 2">
      <tableStyleElement dxfId="1" type="headerRow"/>
      <tableStyleElement dxfId="3" type="firstRowStripe"/>
      <tableStyleElement dxfId="1" type="secondRowStripe"/>
    </tableStyle>
    <tableStyle count="3" pivot="0" name="Externals-style 3">
      <tableStyleElement dxfId="1" type="headerRow"/>
      <tableStyleElement dxfId="3" type="firstRowStripe"/>
      <tableStyleElement dxfId="1" type="secondRowStripe"/>
    </tableStyle>
    <tableStyle count="3" pivot="0" name="Externals-style 4">
      <tableStyleElement dxfId="1" type="headerRow"/>
      <tableStyleElement dxfId="3" type="firstRowStripe"/>
      <tableStyleElement dxfId="1" type="secondRowStripe"/>
    </tableStyle>
    <tableStyle count="3" pivot="0" name="Externals-style 5">
      <tableStyleElement dxfId="1" type="headerRow"/>
      <tableStyleElement dxfId="3" type="firstRowStripe"/>
      <tableStyleElement dxfId="1" type="secondRowStripe"/>
    </tableStyle>
    <tableStyle count="3" pivot="0" name="Externals-style 6">
      <tableStyleElement dxfId="1" type="headerRow"/>
      <tableStyleElement dxfId="3" type="firstRowStripe"/>
      <tableStyleElement dxfId="1" type="secondRowStripe"/>
    </tableStyle>
    <tableStyle count="3" pivot="0" name="Externals-style 7">
      <tableStyleElement dxfId="1" type="headerRow"/>
      <tableStyleElement dxfId="3" type="firstRowStripe"/>
      <tableStyleElement dxfId="1" type="secondRowStripe"/>
    </tableStyle>
    <tableStyle count="3" pivot="0" name="Externals-style 8">
      <tableStyleElement dxfId="1" type="headerRow"/>
      <tableStyleElement dxfId="3" type="firstRowStripe"/>
      <tableStyleElement dxfId="1" type="secondRowStripe"/>
    </tableStyle>
    <tableStyle count="3" pivot="0" name="RPE-style">
      <tableStyleElement dxfId="1" type="headerRow"/>
      <tableStyleElement dxfId="3" type="firstRowStripe"/>
      <tableStyleElement dxfId="1" type="secondRowStripe"/>
    </tableStyle>
    <tableStyle count="3" pivot="0" name="RPE-style 2">
      <tableStyleElement dxfId="1" type="headerRow"/>
      <tableStyleElement dxfId="3" type="firstRowStripe"/>
      <tableStyleElement dxfId="1" type="secondRowStripe"/>
    </tableStyle>
    <tableStyle count="3" pivot="0" name="RPE-style 3">
      <tableStyleElement dxfId="1" type="headerRow"/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Info!$B$35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Info!$A$36:$A$47</c:f>
            </c:strRef>
          </c:cat>
          <c:val>
            <c:numRef>
              <c:f>Info!$B$36:$B$47</c:f>
              <c:numCache/>
            </c:numRef>
          </c:val>
          <c:smooth val="0"/>
        </c:ser>
        <c:ser>
          <c:idx val="1"/>
          <c:order val="1"/>
          <c:tx>
            <c:strRef>
              <c:f>Info!$C$35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Info!$A$36:$A$47</c:f>
            </c:strRef>
          </c:cat>
          <c:val>
            <c:numRef>
              <c:f>Info!$C$36:$C$47</c:f>
              <c:numCache/>
            </c:numRef>
          </c:val>
          <c:smooth val="0"/>
        </c:ser>
        <c:ser>
          <c:idx val="2"/>
          <c:order val="2"/>
          <c:tx>
            <c:strRef>
              <c:f>Info!$D$35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Info!$A$36:$A$47</c:f>
            </c:strRef>
          </c:cat>
          <c:val>
            <c:numRef>
              <c:f>Info!$D$36:$D$47</c:f>
              <c:numCache/>
            </c:numRef>
          </c:val>
          <c:smooth val="0"/>
        </c:ser>
        <c:ser>
          <c:idx val="3"/>
          <c:order val="3"/>
          <c:tx>
            <c:strRef>
              <c:f>Info!$E$35</c:f>
            </c:strRef>
          </c:tx>
          <c:spPr>
            <a:ln cmpd="sng">
              <a:solidFill>
                <a:srgbClr val="1C7685"/>
              </a:solidFill>
            </a:ln>
          </c:spPr>
          <c:marker>
            <c:symbol val="none"/>
          </c:marker>
          <c:cat>
            <c:strRef>
              <c:f>Info!$A$36:$A$47</c:f>
            </c:strRef>
          </c:cat>
          <c:val>
            <c:numRef>
              <c:f>Info!$E$36:$E$47</c:f>
              <c:numCache/>
            </c:numRef>
          </c:val>
          <c:smooth val="0"/>
        </c:ser>
        <c:axId val="179362395"/>
        <c:axId val="1623627100"/>
      </c:lineChart>
      <c:catAx>
        <c:axId val="179362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627100"/>
      </c:catAx>
      <c:valAx>
        <c:axId val="1623627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62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1647825</xdr:colOff>
      <xdr:row>18</xdr:row>
      <xdr:rowOff>171450</xdr:rowOff>
    </xdr:from>
    <xdr:ext cx="8953500" cy="55340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</xdr:colOff>
      <xdr:row>0</xdr:row>
      <xdr:rowOff>0</xdr:rowOff>
    </xdr:from>
    <xdr:ext cx="2676525" cy="1543050"/>
    <xdr:pic>
      <xdr:nvPicPr>
        <xdr:cNvPr id="0" name="image1.png" title="Afbeeldi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Table_77" name="Table_77" id="78">
  <tableColumns count="2">
    <tableColumn name="Naam" id="1"/>
    <tableColumn name="Kevin Pham" id="2"/>
  </tableColumns>
  <tableStyleInfo name="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B12" displayName="Table_80" name="Table_80" id="81">
  <tableColumns count="2">
    <tableColumn name="Column1" id="1"/>
    <tableColumn name="Column2" id="2"/>
  </tableColumns>
  <tableStyleInfo name="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8:B31" displayName="Table_86" name="Table_86" id="86">
  <tableColumns count="2">
    <tableColumn name="Column1" id="1"/>
    <tableColumn name="Column2" id="2"/>
  </tableColumns>
  <tableStyleInfo name="Inf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35:E47" displayName="Table_89" name="Table_89" id="89">
  <tableColumns count="5">
    <tableColumn name="Blok" id="1"/>
    <tableColumn name="Squat" id="2"/>
    <tableColumn name="Bench " id="3"/>
    <tableColumn name="Deadlift " id="4"/>
    <tableColumn name="Totaal" id="5"/>
  </tableColumns>
  <tableStyleInfo name="Info-style 4" showColumnStripes="0" showFirstColumn="1" showLastColumn="1" showRowStripes="1"/>
</table>
</file>

<file path=xl/tables/table5.xml><?xml version="1.0" encoding="utf-8"?>
<table xmlns="http://schemas.openxmlformats.org/spreadsheetml/2006/main" ref="B13:I22" displayName="Table_4" name="Table_4" id="4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" showColumnStripes="0" showFirstColumn="1" showLastColumn="1" showRowStripes="1"/>
</table>
</file>

<file path=xl/tables/table6.xml><?xml version="1.0" encoding="utf-8"?>
<table xmlns="http://schemas.openxmlformats.org/spreadsheetml/2006/main" ref="M13:T22" displayName="Table_8" name="Table_8" id="8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2" showColumnStripes="0" showFirstColumn="1" showLastColumn="1" showRowStripes="1"/>
</table>
</file>

<file path=xl/tables/table7.xml><?xml version="1.0" encoding="utf-8"?>
<table xmlns="http://schemas.openxmlformats.org/spreadsheetml/2006/main" ref="X13:AE22" displayName="Table_11" name="Table_11" id="11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" showColumnStripes="0" showFirstColumn="1" showLastColumn="1" showRowStripes="1"/>
</table>
</file>

<file path=xl/tables/table8.xml><?xml version="1.0" encoding="utf-8"?>
<table xmlns="http://schemas.openxmlformats.org/spreadsheetml/2006/main" ref="AI13:AP22" displayName="Table_26" name="Table_26" id="26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4" showColumnStripes="0" showFirstColumn="1" showLastColumn="1" showRowStripes="1"/>
</table>
</file>

<file path=xl/tables/table9.xml><?xml version="1.0" encoding="utf-8"?>
<table xmlns="http://schemas.openxmlformats.org/spreadsheetml/2006/main" ref="AT13:BA22" displayName="Table_28" name="Table_28" id="28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5" showColumnStripes="0" showFirstColumn="1" showLastColumn="1" showRowStripes="1"/>
</table>
</file>

<file path=xl/tables/table10.xml><?xml version="1.0" encoding="utf-8"?>
<table xmlns="http://schemas.openxmlformats.org/spreadsheetml/2006/main" ref="G23:H24" displayName="Table_31" name="Table_31" id="31">
  <tableColumns count="2">
    <tableColumn name="CARDIO" id="1"/>
    <tableColumn name="SOORT" id="2"/>
  </tableColumns>
  <tableStyleInfo name="AUG2026-style 6" showColumnStripes="0" showFirstColumn="1" showLastColumn="1" showRowStripes="1"/>
</table>
</file>

<file path=xl/tables/table11.xml><?xml version="1.0" encoding="utf-8"?>
<table xmlns="http://schemas.openxmlformats.org/spreadsheetml/2006/main" ref="I23:I24" displayName="Table_33" name="Table_33" id="33">
  <tableColumns count="1">
    <tableColumn name="(DUUR)" id="1"/>
  </tableColumns>
  <tableStyleInfo name="AUG2026-style 7" showColumnStripes="0" showFirstColumn="1" showLastColumn="1" showRowStripes="1"/>
</table>
</file>

<file path=xl/tables/table12.xml><?xml version="1.0" encoding="utf-8"?>
<table xmlns="http://schemas.openxmlformats.org/spreadsheetml/2006/main" ref="R23:S24" displayName="Table_34" name="Table_34" id="34">
  <tableColumns count="2">
    <tableColumn name="CARDIO" id="1"/>
    <tableColumn name="SOORT" id="2"/>
  </tableColumns>
  <tableStyleInfo name="AUG2026-style 8" showColumnStripes="0" showFirstColumn="1" showLastColumn="1" showRowStripes="1"/>
</table>
</file>

<file path=xl/tables/table13.xml><?xml version="1.0" encoding="utf-8"?>
<table xmlns="http://schemas.openxmlformats.org/spreadsheetml/2006/main" ref="T23:T24" displayName="Table_36" name="Table_36" id="36">
  <tableColumns count="1">
    <tableColumn name="(DUUR)" id="1"/>
  </tableColumns>
  <tableStyleInfo name="AUG2026-style 9" showColumnStripes="0" showFirstColumn="1" showLastColumn="1" showRowStripes="1"/>
</table>
</file>

<file path=xl/tables/table14.xml><?xml version="1.0" encoding="utf-8"?>
<table xmlns="http://schemas.openxmlformats.org/spreadsheetml/2006/main" ref="AC23:AD24" displayName="Table_37" name="Table_37" id="37">
  <tableColumns count="2">
    <tableColumn name="CARDIO" id="1"/>
    <tableColumn name="SOORT" id="2"/>
  </tableColumns>
  <tableStyleInfo name="AUG2026-style 10" showColumnStripes="0" showFirstColumn="1" showLastColumn="1" showRowStripes="1"/>
</table>
</file>

<file path=xl/tables/table15.xml><?xml version="1.0" encoding="utf-8"?>
<table xmlns="http://schemas.openxmlformats.org/spreadsheetml/2006/main" ref="AE23:AE24" displayName="Table_39" name="Table_39" id="39">
  <tableColumns count="1">
    <tableColumn name="(DUUR)" id="1"/>
  </tableColumns>
  <tableStyleInfo name="AUG2026-style 11" showColumnStripes="0" showFirstColumn="1" showLastColumn="1" showRowStripes="1"/>
</table>
</file>

<file path=xl/tables/table16.xml><?xml version="1.0" encoding="utf-8"?>
<table xmlns="http://schemas.openxmlformats.org/spreadsheetml/2006/main" ref="AN23:AO24" displayName="Table_40" name="Table_40" id="40">
  <tableColumns count="2">
    <tableColumn name="CARDIO" id="1"/>
    <tableColumn name="SOORT" id="2"/>
  </tableColumns>
  <tableStyleInfo name="AUG2026-style 12" showColumnStripes="0" showFirstColumn="1" showLastColumn="1" showRowStripes="1"/>
</table>
</file>

<file path=xl/tables/table17.xml><?xml version="1.0" encoding="utf-8"?>
<table xmlns="http://schemas.openxmlformats.org/spreadsheetml/2006/main" ref="AP23:AP24" displayName="Table_42" name="Table_42" id="42">
  <tableColumns count="1">
    <tableColumn name="(DUUR)" id="1"/>
  </tableColumns>
  <tableStyleInfo name="AUG2026-style 13" showColumnStripes="0" showFirstColumn="1" showLastColumn="1" showRowStripes="1"/>
</table>
</file>

<file path=xl/tables/table18.xml><?xml version="1.0" encoding="utf-8"?>
<table xmlns="http://schemas.openxmlformats.org/spreadsheetml/2006/main" ref="AY23:AZ24" displayName="Table_44" name="Table_44" id="44">
  <tableColumns count="2">
    <tableColumn name="CARDIO" id="1"/>
    <tableColumn name="SOORT" id="2"/>
  </tableColumns>
  <tableStyleInfo name="AUG2026-style 14" showColumnStripes="0" showFirstColumn="1" showLastColumn="1" showRowStripes="1"/>
</table>
</file>

<file path=xl/tables/table19.xml><?xml version="1.0" encoding="utf-8"?>
<table xmlns="http://schemas.openxmlformats.org/spreadsheetml/2006/main" ref="BA23:BA24" displayName="Table_46" name="Table_46" id="46">
  <tableColumns count="1">
    <tableColumn name="(DUUR)" id="1"/>
  </tableColumns>
  <tableStyleInfo name="AUG2026-style 15" showColumnStripes="0" showFirstColumn="1" showLastColumn="1" showRowStripes="1"/>
</table>
</file>

<file path=xl/tables/table20.xml><?xml version="1.0" encoding="utf-8"?>
<table xmlns="http://schemas.openxmlformats.org/spreadsheetml/2006/main" ref="B27:I36" displayName="Table_47" name="Table_47" id="47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16" showColumnStripes="0" showFirstColumn="1" showLastColumn="1" showRowStripes="1"/>
</table>
</file>

<file path=xl/tables/table21.xml><?xml version="1.0" encoding="utf-8"?>
<table xmlns="http://schemas.openxmlformats.org/spreadsheetml/2006/main" ref="M27:T36" displayName="Table_50" name="Table_50" id="50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17" showColumnStripes="0" showFirstColumn="1" showLastColumn="1" showRowStripes="1"/>
</table>
</file>

<file path=xl/tables/table22.xml><?xml version="1.0" encoding="utf-8"?>
<table xmlns="http://schemas.openxmlformats.org/spreadsheetml/2006/main" ref="X27:AE36" displayName="Table_52" name="Table_52" id="52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18" showColumnStripes="0" showFirstColumn="1" showLastColumn="1" showRowStripes="1"/>
</table>
</file>

<file path=xl/tables/table23.xml><?xml version="1.0" encoding="utf-8"?>
<table xmlns="http://schemas.openxmlformats.org/spreadsheetml/2006/main" ref="AI27:AP36" displayName="Table_54" name="Table_54" id="54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19" showColumnStripes="0" showFirstColumn="1" showLastColumn="1" showRowStripes="1"/>
</table>
</file>

<file path=xl/tables/table24.xml><?xml version="1.0" encoding="utf-8"?>
<table xmlns="http://schemas.openxmlformats.org/spreadsheetml/2006/main" ref="AT27:BA36" displayName="Table_56" name="Table_56" id="56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20" showColumnStripes="0" showFirstColumn="1" showLastColumn="1" showRowStripes="1"/>
</table>
</file>

<file path=xl/tables/table25.xml><?xml version="1.0" encoding="utf-8"?>
<table xmlns="http://schemas.openxmlformats.org/spreadsheetml/2006/main" ref="G37:H38" displayName="Table_58" name="Table_58" id="58">
  <tableColumns count="2">
    <tableColumn name="CARDIO" id="1"/>
    <tableColumn name="SOORT" id="2"/>
  </tableColumns>
  <tableStyleInfo name="AUG2026-style 21" showColumnStripes="0" showFirstColumn="1" showLastColumn="1" showRowStripes="1"/>
</table>
</file>

<file path=xl/tables/table26.xml><?xml version="1.0" encoding="utf-8"?>
<table xmlns="http://schemas.openxmlformats.org/spreadsheetml/2006/main" ref="I37:I38" displayName="Table_60" name="Table_60" id="60">
  <tableColumns count="1">
    <tableColumn name="(DUUR)" id="1"/>
  </tableColumns>
  <tableStyleInfo name="AUG2026-style 22" showColumnStripes="0" showFirstColumn="1" showLastColumn="1" showRowStripes="1"/>
</table>
</file>

<file path=xl/tables/table27.xml><?xml version="1.0" encoding="utf-8"?>
<table xmlns="http://schemas.openxmlformats.org/spreadsheetml/2006/main" ref="R37:S38" displayName="Table_62" name="Table_62" id="62">
  <tableColumns count="2">
    <tableColumn name="CARDIO" id="1"/>
    <tableColumn name="SOORT" id="2"/>
  </tableColumns>
  <tableStyleInfo name="AUG2026-style 23" showColumnStripes="0" showFirstColumn="1" showLastColumn="1" showRowStripes="1"/>
</table>
</file>

<file path=xl/tables/table28.xml><?xml version="1.0" encoding="utf-8"?>
<table xmlns="http://schemas.openxmlformats.org/spreadsheetml/2006/main" ref="T37:T38" displayName="Table_63" name="Table_63" id="63">
  <tableColumns count="1">
    <tableColumn name="(DUUR)" id="1"/>
  </tableColumns>
  <tableStyleInfo name="AUG2026-style 24" showColumnStripes="0" showFirstColumn="1" showLastColumn="1" showRowStripes="1"/>
</table>
</file>

<file path=xl/tables/table29.xml><?xml version="1.0" encoding="utf-8"?>
<table xmlns="http://schemas.openxmlformats.org/spreadsheetml/2006/main" ref="AC37:AD38" displayName="Table_65" name="Table_65" id="65">
  <tableColumns count="2">
    <tableColumn name="CARDIO" id="1"/>
    <tableColumn name="SOORT" id="2"/>
  </tableColumns>
  <tableStyleInfo name="AUG2026-style 25" showColumnStripes="0" showFirstColumn="1" showLastColumn="1" showRowStripes="1"/>
</table>
</file>

<file path=xl/tables/table30.xml><?xml version="1.0" encoding="utf-8"?>
<table xmlns="http://schemas.openxmlformats.org/spreadsheetml/2006/main" ref="AE37:AE38" displayName="Table_66" name="Table_66" id="66">
  <tableColumns count="1">
    <tableColumn name="(DUUR)" id="1"/>
  </tableColumns>
  <tableStyleInfo name="AUG2026-style 26" showColumnStripes="0" showFirstColumn="1" showLastColumn="1" showRowStripes="1"/>
</table>
</file>

<file path=xl/tables/table31.xml><?xml version="1.0" encoding="utf-8"?>
<table xmlns="http://schemas.openxmlformats.org/spreadsheetml/2006/main" ref="AN37:AO38" displayName="Table_67" name="Table_67" id="67">
  <tableColumns count="2">
    <tableColumn name="CARDIO" id="1"/>
    <tableColumn name="SOORT" id="2"/>
  </tableColumns>
  <tableStyleInfo name="AUG2026-style 27" showColumnStripes="0" showFirstColumn="1" showLastColumn="1" showRowStripes="1"/>
</table>
</file>

<file path=xl/tables/table32.xml><?xml version="1.0" encoding="utf-8"?>
<table xmlns="http://schemas.openxmlformats.org/spreadsheetml/2006/main" ref="AP37:AP38" displayName="Table_68" name="Table_68" id="68">
  <tableColumns count="1">
    <tableColumn name="(DUUR)" id="1"/>
  </tableColumns>
  <tableStyleInfo name="AUG2026-style 28" showColumnStripes="0" showFirstColumn="1" showLastColumn="1" showRowStripes="1"/>
</table>
</file>

<file path=xl/tables/table33.xml><?xml version="1.0" encoding="utf-8"?>
<table xmlns="http://schemas.openxmlformats.org/spreadsheetml/2006/main" ref="AY37:AZ38" displayName="Table_69" name="Table_69" id="69">
  <tableColumns count="2">
    <tableColumn name="CARDIO" id="1"/>
    <tableColumn name="SOORT" id="2"/>
  </tableColumns>
  <tableStyleInfo name="AUG2026-style 29" showColumnStripes="0" showFirstColumn="1" showLastColumn="1" showRowStripes="1"/>
</table>
</file>

<file path=xl/tables/table34.xml><?xml version="1.0" encoding="utf-8"?>
<table xmlns="http://schemas.openxmlformats.org/spreadsheetml/2006/main" ref="BA37:BA38" displayName="Table_70" name="Table_70" id="70">
  <tableColumns count="1">
    <tableColumn name="(DUUR)" id="1"/>
  </tableColumns>
  <tableStyleInfo name="AUG2026-style 30" showColumnStripes="0" showFirstColumn="1" showLastColumn="1" showRowStripes="1"/>
</table>
</file>

<file path=xl/tables/table35.xml><?xml version="1.0" encoding="utf-8"?>
<table xmlns="http://schemas.openxmlformats.org/spreadsheetml/2006/main" ref="B41:I50" displayName="Table_71" name="Table_71" id="71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1" showColumnStripes="0" showFirstColumn="1" showLastColumn="1" showRowStripes="1"/>
</table>
</file>

<file path=xl/tables/table36.xml><?xml version="1.0" encoding="utf-8"?>
<table xmlns="http://schemas.openxmlformats.org/spreadsheetml/2006/main" ref="M41:T50" displayName="Table_73" name="Table_73" id="73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2" showColumnStripes="0" showFirstColumn="1" showLastColumn="1" showRowStripes="1"/>
</table>
</file>

<file path=xl/tables/table37.xml><?xml version="1.0" encoding="utf-8"?>
<table xmlns="http://schemas.openxmlformats.org/spreadsheetml/2006/main" ref="X41:AE50" displayName="Table_74" name="Table_74" id="74">
  <tableColumns count="8">
    <tableColumn name="SESSIE 3" id="1"/>
    <tableColumn name="Zater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3" showColumnStripes="0" showFirstColumn="1" showLastColumn="1" showRowStripes="1"/>
</table>
</file>

<file path=xl/tables/table38.xml><?xml version="1.0" encoding="utf-8"?>
<table xmlns="http://schemas.openxmlformats.org/spreadsheetml/2006/main" ref="AI41:AP50" displayName="Table_75" name="Table_75" id="75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4" showColumnStripes="0" showFirstColumn="1" showLastColumn="1" showRowStripes="1"/>
</table>
</file>

<file path=xl/tables/table39.xml><?xml version="1.0" encoding="utf-8"?>
<table xmlns="http://schemas.openxmlformats.org/spreadsheetml/2006/main" ref="AT41:BA50" displayName="Table_76" name="Table_76" id="76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35" showColumnStripes="0" showFirstColumn="1" showLastColumn="1" showRowStripes="1"/>
</table>
</file>

<file path=xl/tables/table40.xml><?xml version="1.0" encoding="utf-8"?>
<table xmlns="http://schemas.openxmlformats.org/spreadsheetml/2006/main" ref="G51:H52" displayName="Table_79" name="Table_79" id="79">
  <tableColumns count="2">
    <tableColumn name="CARDIO" id="1"/>
    <tableColumn name="SOORT" id="2"/>
  </tableColumns>
  <tableStyleInfo name="AUG2026-style 36" showColumnStripes="0" showFirstColumn="1" showLastColumn="1" showRowStripes="1"/>
</table>
</file>

<file path=xl/tables/table41.xml><?xml version="1.0" encoding="utf-8"?>
<table xmlns="http://schemas.openxmlformats.org/spreadsheetml/2006/main" ref="I51:I52" displayName="Table_81" name="Table_81" id="80">
  <tableColumns count="1">
    <tableColumn name="(DUUR)" id="1"/>
  </tableColumns>
  <tableStyleInfo name="AUG2026-style 37" showColumnStripes="0" showFirstColumn="1" showLastColumn="1" showRowStripes="1"/>
</table>
</file>

<file path=xl/tables/table42.xml><?xml version="1.0" encoding="utf-8"?>
<table xmlns="http://schemas.openxmlformats.org/spreadsheetml/2006/main" ref="R51:S52" displayName="Table_83" name="Table_83" id="83">
  <tableColumns count="2">
    <tableColumn name="CARDIO" id="1"/>
    <tableColumn name="SOORT" id="2"/>
  </tableColumns>
  <tableStyleInfo name="AUG2026-style 38" showColumnStripes="0" showFirstColumn="1" showLastColumn="1" showRowStripes="1"/>
</table>
</file>

<file path=xl/tables/table43.xml><?xml version="1.0" encoding="utf-8"?>
<table xmlns="http://schemas.openxmlformats.org/spreadsheetml/2006/main" ref="T51:T52" displayName="Table_85" name="Table_85" id="85">
  <tableColumns count="1">
    <tableColumn name="(DUUR)" id="1"/>
  </tableColumns>
  <tableStyleInfo name="AUG2026-style 39" showColumnStripes="0" showFirstColumn="1" showLastColumn="1" showRowStripes="1"/>
</table>
</file>

<file path=xl/tables/table44.xml><?xml version="1.0" encoding="utf-8"?>
<table xmlns="http://schemas.openxmlformats.org/spreadsheetml/2006/main" ref="AC51:AD52" displayName="Table_87" name="Table_87" id="87">
  <tableColumns count="2">
    <tableColumn name="CARDIO" id="1"/>
    <tableColumn name="SOORT" id="2"/>
  </tableColumns>
  <tableStyleInfo name="AUG2026-style 40" showColumnStripes="0" showFirstColumn="1" showLastColumn="1" showRowStripes="1"/>
</table>
</file>

<file path=xl/tables/table45.xml><?xml version="1.0" encoding="utf-8"?>
<table xmlns="http://schemas.openxmlformats.org/spreadsheetml/2006/main" ref="AE51:AE52" displayName="Table_90" name="Table_90" id="90">
  <tableColumns count="1">
    <tableColumn name="(DUUR)" id="1"/>
  </tableColumns>
  <tableStyleInfo name="AUG2026-style 41" showColumnStripes="0" showFirstColumn="1" showLastColumn="1" showRowStripes="1"/>
</table>
</file>

<file path=xl/tables/table46.xml><?xml version="1.0" encoding="utf-8"?>
<table xmlns="http://schemas.openxmlformats.org/spreadsheetml/2006/main" ref="AN51:AO52" displayName="Table_92" name="Table_92" id="92">
  <tableColumns count="2">
    <tableColumn name="CARDIO" id="1"/>
    <tableColumn name="SOORT" id="2"/>
  </tableColumns>
  <tableStyleInfo name="AUG2026-style 42" showColumnStripes="0" showFirstColumn="1" showLastColumn="1" showRowStripes="1"/>
</table>
</file>

<file path=xl/tables/table47.xml><?xml version="1.0" encoding="utf-8"?>
<table xmlns="http://schemas.openxmlformats.org/spreadsheetml/2006/main" ref="AP51:AP52" displayName="Table_94" name="Table_94" id="94">
  <tableColumns count="1">
    <tableColumn name="(DUUR)" id="1"/>
  </tableColumns>
  <tableStyleInfo name="AUG2026-style 43" showColumnStripes="0" showFirstColumn="1" showLastColumn="1" showRowStripes="1"/>
</table>
</file>

<file path=xl/tables/table48.xml><?xml version="1.0" encoding="utf-8"?>
<table xmlns="http://schemas.openxmlformats.org/spreadsheetml/2006/main" ref="AY51:AZ52" displayName="Table_95" name="Table_95" id="95">
  <tableColumns count="2">
    <tableColumn name="CARDIO" id="1"/>
    <tableColumn name="SOORT" id="2"/>
  </tableColumns>
  <tableStyleInfo name="AUG2026-style 44" showColumnStripes="0" showFirstColumn="1" showLastColumn="1" showRowStripes="1"/>
</table>
</file>

<file path=xl/tables/table49.xml><?xml version="1.0" encoding="utf-8"?>
<table xmlns="http://schemas.openxmlformats.org/spreadsheetml/2006/main" ref="BA51:BA52" displayName="Table_97" name="Table_97" id="97">
  <tableColumns count="1">
    <tableColumn name="(DUUR)" id="1"/>
  </tableColumns>
  <tableStyleInfo name="AUG2026-style 45" showColumnStripes="0" showFirstColumn="1" showLastColumn="1" showRowStripes="1"/>
</table>
</file>

<file path=xl/tables/table50.xml><?xml version="1.0" encoding="utf-8"?>
<table xmlns="http://schemas.openxmlformats.org/spreadsheetml/2006/main" ref="M54:S57" displayName="Table_102" name="Table_102" id="102">
  <tableColumns count="7">
    <tableColumn name="EXTRA OEFENING VAN SESSIE 4 VOOR 3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AUG2026-style 46" showColumnStripes="0" showFirstColumn="1" showLastColumn="1" showRowStripes="1"/>
</table>
</file>

<file path=xl/tables/table51.xml><?xml version="1.0" encoding="utf-8"?>
<table xmlns="http://schemas.openxmlformats.org/spreadsheetml/2006/main" ref="X54:AD57" displayName="Table_103" name="Table_103" id="103">
  <tableColumns count="7">
    <tableColumn name="EXTRA OEFENING VAN SESSIE 4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AUG2026-style 47" showColumnStripes="0" showFirstColumn="1" showLastColumn="1" showRowStripes="1"/>
</table>
</file>

<file path=xl/tables/table52.xml><?xml version="1.0" encoding="utf-8"?>
<table xmlns="http://schemas.openxmlformats.org/spreadsheetml/2006/main" ref="AI54:AO57" displayName="Table_104" name="Table_104" id="104">
  <tableColumns count="7">
    <tableColumn name="EXTRA OEFENING VAN SESSIE 4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AUG2026-style 48" showColumnStripes="0" showFirstColumn="1" showLastColumn="1" showRowStripes="1"/>
</table>
</file>

<file path=xl/tables/table53.xml><?xml version="1.0" encoding="utf-8"?>
<table xmlns="http://schemas.openxmlformats.org/spreadsheetml/2006/main" ref="AT54:AZ57" displayName="Table_105" name="Table_105" id="105">
  <tableColumns count="7">
    <tableColumn name="EXTRA OEFENING VAN SESSIE 4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AUG2026-style 49" showColumnStripes="0" showFirstColumn="1" showLastColumn="1" showRowStripes="1"/>
</table>
</file>

<file path=xl/tables/table54.xml><?xml version="1.0" encoding="utf-8"?>
<table xmlns="http://schemas.openxmlformats.org/spreadsheetml/2006/main" ref="B55:H58" displayName="Table_106" name="Table_106" id="106">
  <tableColumns count="7">
    <tableColumn name="EXTRA OEFENING VAN SESSIE 4 VOOR 3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AUG2026-style 50" showColumnStripes="0" showFirstColumn="1" showLastColumn="1" showRowStripes="1"/>
</table>
</file>

<file path=xl/tables/table55.xml><?xml version="1.0" encoding="utf-8"?>
<table xmlns="http://schemas.openxmlformats.org/spreadsheetml/2006/main" headerRowCount="0" ref="B63:I72" displayName="Table_107" name="Table_107" id="10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UG2026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ref="M63:T72" displayName="Table_108" name="Table_108" id="108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52" showColumnStripes="0" showFirstColumn="1" showLastColumn="1" showRowStripes="1"/>
</table>
</file>

<file path=xl/tables/table57.xml><?xml version="1.0" encoding="utf-8"?>
<table xmlns="http://schemas.openxmlformats.org/spreadsheetml/2006/main" ref="X63:AE72" displayName="Table_109" name="Table_109" id="109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53" showColumnStripes="0" showFirstColumn="1" showLastColumn="1" showRowStripes="1"/>
</table>
</file>

<file path=xl/tables/table58.xml><?xml version="1.0" encoding="utf-8"?>
<table xmlns="http://schemas.openxmlformats.org/spreadsheetml/2006/main" ref="AI63:AP72" displayName="Table_110" name="Table_110" id="110">
  <tableColumns count="8">
    <tableColumn name="SESSIE 4" id="1"/>
    <tableColumn name="Zo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54" showColumnStripes="0" showFirstColumn="1" showLastColumn="1" showRowStripes="1"/>
</table>
</file>

<file path=xl/tables/table59.xml><?xml version="1.0" encoding="utf-8"?>
<table xmlns="http://schemas.openxmlformats.org/spreadsheetml/2006/main" ref="AT63:BA72" displayName="Table_111" name="Table_111" id="111">
  <tableColumns count="8">
    <tableColumn name="SESSIE 4" id="1"/>
    <tableColumn name="Zo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AUG2026-style 55" showColumnStripes="0" showFirstColumn="1" showLastColumn="1" showRowStripes="1"/>
</table>
</file>

<file path=xl/tables/table60.xml><?xml version="1.0" encoding="utf-8"?>
<table xmlns="http://schemas.openxmlformats.org/spreadsheetml/2006/main" ref="G73:H74" displayName="Table_112" name="Table_112" id="112">
  <tableColumns count="2">
    <tableColumn name="CARDIO" id="1"/>
    <tableColumn name="SOORT" id="2"/>
  </tableColumns>
  <tableStyleInfo name="AUG2026-style 56" showColumnStripes="0" showFirstColumn="1" showLastColumn="1" showRowStripes="1"/>
</table>
</file>

<file path=xl/tables/table61.xml><?xml version="1.0" encoding="utf-8"?>
<table xmlns="http://schemas.openxmlformats.org/spreadsheetml/2006/main" ref="I73:I74" displayName="Table_113" name="Table_113" id="113">
  <tableColumns count="1">
    <tableColumn name="(DUUR)" id="1"/>
  </tableColumns>
  <tableStyleInfo name="AUG2026-style 57" showColumnStripes="0" showFirstColumn="1" showLastColumn="1" showRowStripes="1"/>
</table>
</file>

<file path=xl/tables/table62.xml><?xml version="1.0" encoding="utf-8"?>
<table xmlns="http://schemas.openxmlformats.org/spreadsheetml/2006/main" ref="R73:S74" displayName="Table_114" name="Table_114" id="114">
  <tableColumns count="2">
    <tableColumn name="CARDIO" id="1"/>
    <tableColumn name="SOORT" id="2"/>
  </tableColumns>
  <tableStyleInfo name="AUG2026-style 58" showColumnStripes="0" showFirstColumn="1" showLastColumn="1" showRowStripes="1"/>
</table>
</file>

<file path=xl/tables/table63.xml><?xml version="1.0" encoding="utf-8"?>
<table xmlns="http://schemas.openxmlformats.org/spreadsheetml/2006/main" ref="T73:T74" displayName="Table_115" name="Table_115" id="115">
  <tableColumns count="1">
    <tableColumn name="(DUUR)" id="1"/>
  </tableColumns>
  <tableStyleInfo name="AUG2026-style 59" showColumnStripes="0" showFirstColumn="1" showLastColumn="1" showRowStripes="1"/>
</table>
</file>

<file path=xl/tables/table64.xml><?xml version="1.0" encoding="utf-8"?>
<table xmlns="http://schemas.openxmlformats.org/spreadsheetml/2006/main" ref="AC73:AD74" displayName="Table_116" name="Table_116" id="116">
  <tableColumns count="2">
    <tableColumn name="CARDIO" id="1"/>
    <tableColumn name="SOORT" id="2"/>
  </tableColumns>
  <tableStyleInfo name="AUG2026-style 60" showColumnStripes="0" showFirstColumn="1" showLastColumn="1" showRowStripes="1"/>
</table>
</file>

<file path=xl/tables/table65.xml><?xml version="1.0" encoding="utf-8"?>
<table xmlns="http://schemas.openxmlformats.org/spreadsheetml/2006/main" ref="AE73:AE74" displayName="Table_117" name="Table_117" id="117">
  <tableColumns count="1">
    <tableColumn name="(DUUR)" id="1"/>
  </tableColumns>
  <tableStyleInfo name="AUG2026-style 61" showColumnStripes="0" showFirstColumn="1" showLastColumn="1" showRowStripes="1"/>
</table>
</file>

<file path=xl/tables/table66.xml><?xml version="1.0" encoding="utf-8"?>
<table xmlns="http://schemas.openxmlformats.org/spreadsheetml/2006/main" ref="AN73:AO74" displayName="Table_118" name="Table_118" id="118">
  <tableColumns count="2">
    <tableColumn name="CARDIO" id="1"/>
    <tableColumn name="SOORT" id="2"/>
  </tableColumns>
  <tableStyleInfo name="AUG2026-style 62" showColumnStripes="0" showFirstColumn="1" showLastColumn="1" showRowStripes="1"/>
</table>
</file>

<file path=xl/tables/table67.xml><?xml version="1.0" encoding="utf-8"?>
<table xmlns="http://schemas.openxmlformats.org/spreadsheetml/2006/main" ref="AP73:AP74" displayName="Table_119" name="Table_119" id="119">
  <tableColumns count="1">
    <tableColumn name="(DUUR)" id="1"/>
  </tableColumns>
  <tableStyleInfo name="AUG2026-style 63" showColumnStripes="0" showFirstColumn="1" showLastColumn="1" showRowStripes="1"/>
</table>
</file>

<file path=xl/tables/table68.xml><?xml version="1.0" encoding="utf-8"?>
<table xmlns="http://schemas.openxmlformats.org/spreadsheetml/2006/main" ref="AY73:AZ74" displayName="Table_120" name="Table_120" id="120">
  <tableColumns count="2">
    <tableColumn name="CARDIO" id="1"/>
    <tableColumn name="SOORT" id="2"/>
  </tableColumns>
  <tableStyleInfo name="AUG2026-style 64" showColumnStripes="0" showFirstColumn="1" showLastColumn="1" showRowStripes="1"/>
</table>
</file>

<file path=xl/tables/table69.xml><?xml version="1.0" encoding="utf-8"?>
<table xmlns="http://schemas.openxmlformats.org/spreadsheetml/2006/main" ref="BA73:BA74" displayName="Table_121" name="Table_121" id="121">
  <tableColumns count="1">
    <tableColumn name="(DUUR)" id="1"/>
  </tableColumns>
  <tableStyleInfo name="AUG2026-style 65" showColumnStripes="0" showFirstColumn="1" showLastColumn="1" showRowStripes="1"/>
</table>
</file>

<file path=xl/tables/table70.xml><?xml version="1.0" encoding="utf-8"?>
<table xmlns="http://schemas.openxmlformats.org/spreadsheetml/2006/main" ref="B8:I17" displayName="Table_2" name="Table_2" id="2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" showColumnStripes="0" showFirstColumn="1" showLastColumn="1" showRowStripes="1"/>
</table>
</file>

<file path=xl/tables/table71.xml><?xml version="1.0" encoding="utf-8"?>
<table xmlns="http://schemas.openxmlformats.org/spreadsheetml/2006/main" ref="K8:R17" displayName="Table_3" name="Table_3" id="3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2" showColumnStripes="0" showFirstColumn="1" showLastColumn="1" showRowStripes="1"/>
</table>
</file>

<file path=xl/tables/table72.xml><?xml version="1.0" encoding="utf-8"?>
<table xmlns="http://schemas.openxmlformats.org/spreadsheetml/2006/main" ref="T8:AA17" displayName="Table_5" name="Table_5" id="5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3" showColumnStripes="0" showFirstColumn="1" showLastColumn="1" showRowStripes="1"/>
</table>
</file>

<file path=xl/tables/table73.xml><?xml version="1.0" encoding="utf-8"?>
<table xmlns="http://schemas.openxmlformats.org/spreadsheetml/2006/main" ref="AC8:AJ17" displayName="Table_6" name="Table_6" id="6">
  <tableColumns count="8">
    <tableColumn name="SESSIE 1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4" showColumnStripes="0" showFirstColumn="1" showLastColumn="1" showRowStripes="1"/>
</table>
</file>

<file path=xl/tables/table74.xml><?xml version="1.0" encoding="utf-8"?>
<table xmlns="http://schemas.openxmlformats.org/spreadsheetml/2006/main" ref="G18:H19" displayName="Table_7" name="Table_7" id="7">
  <tableColumns count="2">
    <tableColumn name="CARDIO" id="1"/>
    <tableColumn name="SOORT" id="2"/>
  </tableColumns>
  <tableStyleInfo name="JUL2026-style 5" showColumnStripes="0" showFirstColumn="1" showLastColumn="1" showRowStripes="1"/>
</table>
</file>

<file path=xl/tables/table75.xml><?xml version="1.0" encoding="utf-8"?>
<table xmlns="http://schemas.openxmlformats.org/spreadsheetml/2006/main" ref="I18:I19" displayName="Table_9" name="Table_9" id="9">
  <tableColumns count="1">
    <tableColumn name="(DUUR)" id="1"/>
  </tableColumns>
  <tableStyleInfo name="JUL2026-style 6" showColumnStripes="0" showFirstColumn="1" showLastColumn="1" showRowStripes="1"/>
</table>
</file>

<file path=xl/tables/table76.xml><?xml version="1.0" encoding="utf-8"?>
<table xmlns="http://schemas.openxmlformats.org/spreadsheetml/2006/main" ref="P18:Q19" displayName="Table_10" name="Table_10" id="10">
  <tableColumns count="2">
    <tableColumn name="CARDIO" id="1"/>
    <tableColumn name="SOORT" id="2"/>
  </tableColumns>
  <tableStyleInfo name="JUL2026-style 7" showColumnStripes="0" showFirstColumn="1" showLastColumn="1" showRowStripes="1"/>
</table>
</file>

<file path=xl/tables/table77.xml><?xml version="1.0" encoding="utf-8"?>
<table xmlns="http://schemas.openxmlformats.org/spreadsheetml/2006/main" ref="R18:R19" displayName="Table_12" name="Table_12" id="12">
  <tableColumns count="1">
    <tableColumn name="(DUUR)" id="1"/>
  </tableColumns>
  <tableStyleInfo name="JUL2026-style 8" showColumnStripes="0" showFirstColumn="1" showLastColumn="1" showRowStripes="1"/>
</table>
</file>

<file path=xl/tables/table78.xml><?xml version="1.0" encoding="utf-8"?>
<table xmlns="http://schemas.openxmlformats.org/spreadsheetml/2006/main" ref="Y18:Z19" displayName="Table_13" name="Table_13" id="13">
  <tableColumns count="2">
    <tableColumn name="CARDIO" id="1"/>
    <tableColumn name="SOORT" id="2"/>
  </tableColumns>
  <tableStyleInfo name="JUL2026-style 9" showColumnStripes="0" showFirstColumn="1" showLastColumn="1" showRowStripes="1"/>
</table>
</file>

<file path=xl/tables/table79.xml><?xml version="1.0" encoding="utf-8"?>
<table xmlns="http://schemas.openxmlformats.org/spreadsheetml/2006/main" ref="AA18:AA19" displayName="Table_14" name="Table_14" id="14">
  <tableColumns count="1">
    <tableColumn name="(DUUR)" id="1"/>
  </tableColumns>
  <tableStyleInfo name="JUL2026-style 10" showColumnStripes="0" showFirstColumn="1" showLastColumn="1" showRowStripes="1"/>
</table>
</file>

<file path=xl/tables/table80.xml><?xml version="1.0" encoding="utf-8"?>
<table xmlns="http://schemas.openxmlformats.org/spreadsheetml/2006/main" ref="AH18:AI19" displayName="Table_15" name="Table_15" id="15">
  <tableColumns count="2">
    <tableColumn name="CARDIO" id="1"/>
    <tableColumn name="SOORT" id="2"/>
  </tableColumns>
  <tableStyleInfo name="JUL2026-style 11" showColumnStripes="0" showFirstColumn="1" showLastColumn="1" showRowStripes="1"/>
</table>
</file>

<file path=xl/tables/table81.xml><?xml version="1.0" encoding="utf-8"?>
<table xmlns="http://schemas.openxmlformats.org/spreadsheetml/2006/main" ref="AJ18:AJ19" displayName="Table_16" name="Table_16" id="16">
  <tableColumns count="1">
    <tableColumn name="(DUUR)" id="1"/>
  </tableColumns>
  <tableStyleInfo name="JUL2026-style 12" showColumnStripes="0" showFirstColumn="1" showLastColumn="1" showRowStripes="1"/>
</table>
</file>

<file path=xl/tables/table82.xml><?xml version="1.0" encoding="utf-8"?>
<table xmlns="http://schemas.openxmlformats.org/spreadsheetml/2006/main" ref="B22:I31" displayName="Table_17" name="Table_17" id="17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13" showColumnStripes="0" showFirstColumn="1" showLastColumn="1" showRowStripes="1"/>
</table>
</file>

<file path=xl/tables/table83.xml><?xml version="1.0" encoding="utf-8"?>
<table xmlns="http://schemas.openxmlformats.org/spreadsheetml/2006/main" ref="K22:R31" displayName="Table_18" name="Table_18" id="18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14" showColumnStripes="0" showFirstColumn="1" showLastColumn="1" showRowStripes="1"/>
</table>
</file>

<file path=xl/tables/table84.xml><?xml version="1.0" encoding="utf-8"?>
<table xmlns="http://schemas.openxmlformats.org/spreadsheetml/2006/main" ref="T22:AA31" displayName="Table_19" name="Table_19" id="19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15" showColumnStripes="0" showFirstColumn="1" showLastColumn="1" showRowStripes="1"/>
</table>
</file>

<file path=xl/tables/table85.xml><?xml version="1.0" encoding="utf-8"?>
<table xmlns="http://schemas.openxmlformats.org/spreadsheetml/2006/main" ref="AC22:AJ31" displayName="Table_20" name="Table_20" id="20">
  <tableColumns count="8">
    <tableColumn name="SESSIE 2" id="1"/>
    <tableColumn name="Di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16" showColumnStripes="0" showFirstColumn="1" showLastColumn="1" showRowStripes="1"/>
</table>
</file>

<file path=xl/tables/table86.xml><?xml version="1.0" encoding="utf-8"?>
<table xmlns="http://schemas.openxmlformats.org/spreadsheetml/2006/main" ref="G32:H33" displayName="Table_21" name="Table_21" id="21">
  <tableColumns count="2">
    <tableColumn name="CARDIO" id="1"/>
    <tableColumn name="SOORT" id="2"/>
  </tableColumns>
  <tableStyleInfo name="JUL2026-style 17" showColumnStripes="0" showFirstColumn="1" showLastColumn="1" showRowStripes="1"/>
</table>
</file>

<file path=xl/tables/table87.xml><?xml version="1.0" encoding="utf-8"?>
<table xmlns="http://schemas.openxmlformats.org/spreadsheetml/2006/main" ref="I32:I33" displayName="Table_22" name="Table_22" id="22">
  <tableColumns count="1">
    <tableColumn name="(DUUR)" id="1"/>
  </tableColumns>
  <tableStyleInfo name="JUL2026-style 18" showColumnStripes="0" showFirstColumn="1" showLastColumn="1" showRowStripes="1"/>
</table>
</file>

<file path=xl/tables/table88.xml><?xml version="1.0" encoding="utf-8"?>
<table xmlns="http://schemas.openxmlformats.org/spreadsheetml/2006/main" ref="P32:Q33" displayName="Table_23" name="Table_23" id="23">
  <tableColumns count="2">
    <tableColumn name="CARDIO" id="1"/>
    <tableColumn name="SOORT" id="2"/>
  </tableColumns>
  <tableStyleInfo name="JUL2026-style 19" showColumnStripes="0" showFirstColumn="1" showLastColumn="1" showRowStripes="1"/>
</table>
</file>

<file path=xl/tables/table89.xml><?xml version="1.0" encoding="utf-8"?>
<table xmlns="http://schemas.openxmlformats.org/spreadsheetml/2006/main" ref="R32:R33" displayName="Table_24" name="Table_24" id="24">
  <tableColumns count="1">
    <tableColumn name="(DUUR)" id="1"/>
  </tableColumns>
  <tableStyleInfo name="JUL2026-style 20" showColumnStripes="0" showFirstColumn="1" showLastColumn="1" showRowStripes="1"/>
</table>
</file>

<file path=xl/tables/table90.xml><?xml version="1.0" encoding="utf-8"?>
<table xmlns="http://schemas.openxmlformats.org/spreadsheetml/2006/main" ref="Y32:Z33" displayName="Table_25" name="Table_25" id="25">
  <tableColumns count="2">
    <tableColumn name="CARDIO" id="1"/>
    <tableColumn name="SOORT" id="2"/>
  </tableColumns>
  <tableStyleInfo name="JUL2026-style 21" showColumnStripes="0" showFirstColumn="1" showLastColumn="1" showRowStripes="1"/>
</table>
</file>

<file path=xl/tables/table91.xml><?xml version="1.0" encoding="utf-8"?>
<table xmlns="http://schemas.openxmlformats.org/spreadsheetml/2006/main" ref="AA32:AA33" displayName="Table_27" name="Table_27" id="27">
  <tableColumns count="1">
    <tableColumn name="(DUUR)" id="1"/>
  </tableColumns>
  <tableStyleInfo name="JUL2026-style 22" showColumnStripes="0" showFirstColumn="1" showLastColumn="1" showRowStripes="1"/>
</table>
</file>

<file path=xl/tables/table92.xml><?xml version="1.0" encoding="utf-8"?>
<table xmlns="http://schemas.openxmlformats.org/spreadsheetml/2006/main" ref="AH32:AI33" displayName="Table_29" name="Table_29" id="29">
  <tableColumns count="2">
    <tableColumn name="CARDIO" id="1"/>
    <tableColumn name="SOORT" id="2"/>
  </tableColumns>
  <tableStyleInfo name="JUL2026-style 23" showColumnStripes="0" showFirstColumn="1" showLastColumn="1" showRowStripes="1"/>
</table>
</file>

<file path=xl/tables/table93.xml><?xml version="1.0" encoding="utf-8"?>
<table xmlns="http://schemas.openxmlformats.org/spreadsheetml/2006/main" ref="AJ32:AJ33" displayName="Table_30" name="Table_30" id="30">
  <tableColumns count="1">
    <tableColumn name="(DUUR)" id="1"/>
  </tableColumns>
  <tableStyleInfo name="JUL2026-style 24" showColumnStripes="0" showFirstColumn="1" showLastColumn="1" showRowStripes="1"/>
</table>
</file>

<file path=xl/tables/table94.xml><?xml version="1.0" encoding="utf-8"?>
<table xmlns="http://schemas.openxmlformats.org/spreadsheetml/2006/main" ref="B36:I45" displayName="Table_32" name="Table_32" id="32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25" showColumnStripes="0" showFirstColumn="1" showLastColumn="1" showRowStripes="1"/>
</table>
</file>

<file path=xl/tables/table95.xml><?xml version="1.0" encoding="utf-8"?>
<table xmlns="http://schemas.openxmlformats.org/spreadsheetml/2006/main" ref="K36:R45" displayName="Table_35" name="Table_35" id="35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26" showColumnStripes="0" showFirstColumn="1" showLastColumn="1" showRowStripes="1"/>
</table>
</file>

<file path=xl/tables/table96.xml><?xml version="1.0" encoding="utf-8"?>
<table xmlns="http://schemas.openxmlformats.org/spreadsheetml/2006/main" ref="T36:AA45" displayName="Table_38" name="Table_38" id="38">
  <tableColumns count="8">
    <tableColumn name="SESSIE 3" id="1"/>
    <tableColumn name="Zater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27" showColumnStripes="0" showFirstColumn="1" showLastColumn="1" showRowStripes="1"/>
</table>
</file>

<file path=xl/tables/table97.xml><?xml version="1.0" encoding="utf-8"?>
<table xmlns="http://schemas.openxmlformats.org/spreadsheetml/2006/main" ref="AC36:AJ45" displayName="Table_41" name="Table_41" id="41">
  <tableColumns count="8">
    <tableColumn name="SESSIE 3" id="1"/>
    <tableColumn name="Woens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28" showColumnStripes="0" showFirstColumn="1" showLastColumn="1" showRowStripes="1"/>
</table>
</file>

<file path=xl/tables/table98.xml><?xml version="1.0" encoding="utf-8"?>
<table xmlns="http://schemas.openxmlformats.org/spreadsheetml/2006/main" ref="G46:H47" displayName="Table_43" name="Table_43" id="43">
  <tableColumns count="2">
    <tableColumn name="CARDIO" id="1"/>
    <tableColumn name="SOORT" id="2"/>
  </tableColumns>
  <tableStyleInfo name="JUL2026-style 29" showColumnStripes="0" showFirstColumn="1" showLastColumn="1" showRowStripes="1"/>
</table>
</file>

<file path=xl/tables/table99.xml><?xml version="1.0" encoding="utf-8"?>
<table xmlns="http://schemas.openxmlformats.org/spreadsheetml/2006/main" ref="I46:I47" displayName="Table_45" name="Table_45" id="45">
  <tableColumns count="1">
    <tableColumn name="(DUUR)" id="1"/>
  </tableColumns>
  <tableStyleInfo name="JUL2026-style 30" showColumnStripes="0" showFirstColumn="1" showLastColumn="1" showRowStripes="1"/>
</table>
</file>

<file path=xl/tables/table100.xml><?xml version="1.0" encoding="utf-8"?>
<table xmlns="http://schemas.openxmlformats.org/spreadsheetml/2006/main" ref="P46:Q47" displayName="Table_48" name="Table_48" id="48">
  <tableColumns count="2">
    <tableColumn name="CARDIO" id="1"/>
    <tableColumn name="SOORT" id="2"/>
  </tableColumns>
  <tableStyleInfo name="JUL2026-style 31" showColumnStripes="0" showFirstColumn="1" showLastColumn="1" showRowStripes="1"/>
</table>
</file>

<file path=xl/tables/table101.xml><?xml version="1.0" encoding="utf-8"?>
<table xmlns="http://schemas.openxmlformats.org/spreadsheetml/2006/main" ref="R46:R47" displayName="Table_49" name="Table_49" id="49">
  <tableColumns count="1">
    <tableColumn name="(DUUR)" id="1"/>
  </tableColumns>
  <tableStyleInfo name="JUL2026-style 32" showColumnStripes="0" showFirstColumn="1" showLastColumn="1" showRowStripes="1"/>
</table>
</file>

<file path=xl/tables/table102.xml><?xml version="1.0" encoding="utf-8"?>
<table xmlns="http://schemas.openxmlformats.org/spreadsheetml/2006/main" ref="Y46:Z47" displayName="Table_51" name="Table_51" id="51">
  <tableColumns count="2">
    <tableColumn name="CARDIO" id="1"/>
    <tableColumn name="SOORT" id="2"/>
  </tableColumns>
  <tableStyleInfo name="JUL2026-style 33" showColumnStripes="0" showFirstColumn="1" showLastColumn="1" showRowStripes="1"/>
</table>
</file>

<file path=xl/tables/table103.xml><?xml version="1.0" encoding="utf-8"?>
<table xmlns="http://schemas.openxmlformats.org/spreadsheetml/2006/main" ref="AA46:AA47" displayName="Table_53" name="Table_53" id="53">
  <tableColumns count="1">
    <tableColumn name="(DUUR)" id="1"/>
  </tableColumns>
  <tableStyleInfo name="JUL2026-style 34" showColumnStripes="0" showFirstColumn="1" showLastColumn="1" showRowStripes="1"/>
</table>
</file>

<file path=xl/tables/table104.xml><?xml version="1.0" encoding="utf-8"?>
<table xmlns="http://schemas.openxmlformats.org/spreadsheetml/2006/main" ref="AH46:AI47" displayName="Table_55" name="Table_55" id="55">
  <tableColumns count="2">
    <tableColumn name="CARDIO" id="1"/>
    <tableColumn name="SOORT" id="2"/>
  </tableColumns>
  <tableStyleInfo name="JUL2026-style 35" showColumnStripes="0" showFirstColumn="1" showLastColumn="1" showRowStripes="1"/>
</table>
</file>

<file path=xl/tables/table105.xml><?xml version="1.0" encoding="utf-8"?>
<table xmlns="http://schemas.openxmlformats.org/spreadsheetml/2006/main" ref="AJ46:AJ47" displayName="Table_57" name="Table_57" id="57">
  <tableColumns count="1">
    <tableColumn name="(DUUR)" id="1"/>
  </tableColumns>
  <tableStyleInfo name="JUL2026-style 36" showColumnStripes="0" showFirstColumn="1" showLastColumn="1" showRowStripes="1"/>
</table>
</file>

<file path=xl/tables/table106.xml><?xml version="1.0" encoding="utf-8"?>
<table xmlns="http://schemas.openxmlformats.org/spreadsheetml/2006/main" ref="K49:Q52" displayName="Table_59" name="Table_59" id="59">
  <tableColumns count="7">
    <tableColumn name="EXTRA OEFENING VAN SESSIE 4 VOOR 3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JUL2026-style 37" showColumnStripes="0" showFirstColumn="1" showLastColumn="1" showRowStripes="1"/>
</table>
</file>

<file path=xl/tables/table107.xml><?xml version="1.0" encoding="utf-8"?>
<table xmlns="http://schemas.openxmlformats.org/spreadsheetml/2006/main" ref="T49:Z52" displayName="Table_61" name="Table_61" id="61">
  <tableColumns count="7">
    <tableColumn name="EXTRA OEFENING VAN SESSIE 4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JUL2026-style 38" showColumnStripes="0" showFirstColumn="1" showLastColumn="1" showRowStripes="1"/>
</table>
</file>

<file path=xl/tables/table108.xml><?xml version="1.0" encoding="utf-8"?>
<table xmlns="http://schemas.openxmlformats.org/spreadsheetml/2006/main" ref="AC49:AI52" displayName="Table_64" name="Table_64" id="64">
  <tableColumns count="7">
    <tableColumn name="EXTRA OEFENING VAN SESSIE 4" id="1"/>
    <tableColumn name="SETS" id="2"/>
    <tableColumn name="REPS" id="3"/>
    <tableColumn name="INTENSITEIT" id="4"/>
    <tableColumn name="GEWICHT" id="5"/>
    <tableColumn name="ECHTE RPE" id="6"/>
    <tableColumn name="NOTITIES" id="7"/>
  </tableColumns>
  <tableStyleInfo name="JUL2026-style 39" showColumnStripes="0" showFirstColumn="1" showLastColumn="1" showRowStripes="1"/>
</table>
</file>

<file path=xl/tables/table109.xml><?xml version="1.0" encoding="utf-8"?>
<table xmlns="http://schemas.openxmlformats.org/spreadsheetml/2006/main" ref="B58:I67" displayName="Table_72" name="Table_72" id="72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40" showColumnStripes="0" showFirstColumn="1" showLastColumn="1" showRowStripes="1"/>
</table>
</file>

<file path=xl/tables/table110.xml><?xml version="1.0" encoding="utf-8"?>
<table xmlns="http://schemas.openxmlformats.org/spreadsheetml/2006/main" ref="K58:R67" displayName="Table_78" name="Table_78" id="77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41" showColumnStripes="0" showFirstColumn="1" showLastColumn="1" showRowStripes="1"/>
</table>
</file>

<file path=xl/tables/table111.xml><?xml version="1.0" encoding="utf-8"?>
<table xmlns="http://schemas.openxmlformats.org/spreadsheetml/2006/main" ref="T58:AA67" displayName="Table_82" name="Table_82" id="82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42" showColumnStripes="0" showFirstColumn="1" showLastColumn="1" showRowStripes="1"/>
</table>
</file>

<file path=xl/tables/table112.xml><?xml version="1.0" encoding="utf-8"?>
<table xmlns="http://schemas.openxmlformats.org/spreadsheetml/2006/main" ref="AC58:AJ67" displayName="Table_84" name="Table_84" id="84">
  <tableColumns count="8">
    <tableColumn name="SESSIE 4" id="1"/>
    <tableColumn name="Maandag" id="2"/>
    <tableColumn name="SETS" id="3"/>
    <tableColumn name="REPS" id="4"/>
    <tableColumn name="INTENSITEIT" id="5"/>
    <tableColumn name="GEWICHT" id="6"/>
    <tableColumn name="ECHTE RPE" id="7"/>
    <tableColumn name="NOTITIES" id="8"/>
  </tableColumns>
  <tableStyleInfo name="JUL2026-style 43" showColumnStripes="0" showFirstColumn="1" showLastColumn="1" showRowStripes="1"/>
</table>
</file>

<file path=xl/tables/table113.xml><?xml version="1.0" encoding="utf-8"?>
<table xmlns="http://schemas.openxmlformats.org/spreadsheetml/2006/main" ref="G68:H69" displayName="Table_88" name="Table_88" id="88">
  <tableColumns count="2">
    <tableColumn name="CARDIO" id="1"/>
    <tableColumn name="SOORT" id="2"/>
  </tableColumns>
  <tableStyleInfo name="JUL2026-style 44" showColumnStripes="0" showFirstColumn="1" showLastColumn="1" showRowStripes="1"/>
</table>
</file>

<file path=xl/tables/table114.xml><?xml version="1.0" encoding="utf-8"?>
<table xmlns="http://schemas.openxmlformats.org/spreadsheetml/2006/main" ref="I68:I69" displayName="Table_91" name="Table_91" id="91">
  <tableColumns count="1">
    <tableColumn name="(DUUR)" id="1"/>
  </tableColumns>
  <tableStyleInfo name="JUL2026-style 45" showColumnStripes="0" showFirstColumn="1" showLastColumn="1" showRowStripes="1"/>
</table>
</file>

<file path=xl/tables/table115.xml><?xml version="1.0" encoding="utf-8"?>
<table xmlns="http://schemas.openxmlformats.org/spreadsheetml/2006/main" ref="P68:Q69" displayName="Table_93" name="Table_93" id="93">
  <tableColumns count="2">
    <tableColumn name="CARDIO" id="1"/>
    <tableColumn name="SOORT" id="2"/>
  </tableColumns>
  <tableStyleInfo name="JUL2026-style 46" showColumnStripes="0" showFirstColumn="1" showLastColumn="1" showRowStripes="1"/>
</table>
</file>

<file path=xl/tables/table116.xml><?xml version="1.0" encoding="utf-8"?>
<table xmlns="http://schemas.openxmlformats.org/spreadsheetml/2006/main" ref="R68:R69" displayName="Table_96" name="Table_96" id="96">
  <tableColumns count="1">
    <tableColumn name="(DUUR)" id="1"/>
  </tableColumns>
  <tableStyleInfo name="JUL2026-style 47" showColumnStripes="0" showFirstColumn="1" showLastColumn="1" showRowStripes="1"/>
</table>
</file>

<file path=xl/tables/table117.xml><?xml version="1.0" encoding="utf-8"?>
<table xmlns="http://schemas.openxmlformats.org/spreadsheetml/2006/main" ref="Y68:Z69" displayName="Table_98" name="Table_98" id="98">
  <tableColumns count="2">
    <tableColumn name="CARDIO" id="1"/>
    <tableColumn name="SOORT" id="2"/>
  </tableColumns>
  <tableStyleInfo name="JUL2026-style 48" showColumnStripes="0" showFirstColumn="1" showLastColumn="1" showRowStripes="1"/>
</table>
</file>

<file path=xl/tables/table118.xml><?xml version="1.0" encoding="utf-8"?>
<table xmlns="http://schemas.openxmlformats.org/spreadsheetml/2006/main" ref="AA68:AA69" displayName="Table_99" name="Table_99" id="99">
  <tableColumns count="1">
    <tableColumn name="(DUUR)" id="1"/>
  </tableColumns>
  <tableStyleInfo name="JUL2026-style 49" showColumnStripes="0" showFirstColumn="1" showLastColumn="1" showRowStripes="1"/>
</table>
</file>

<file path=xl/tables/table119.xml><?xml version="1.0" encoding="utf-8"?>
<table xmlns="http://schemas.openxmlformats.org/spreadsheetml/2006/main" ref="AH68:AI69" displayName="Table_100" name="Table_100" id="100">
  <tableColumns count="2">
    <tableColumn name="CARDIO" id="1"/>
    <tableColumn name="SOORT" id="2"/>
  </tableColumns>
  <tableStyleInfo name="JUL2026-style 50" showColumnStripes="0" showFirstColumn="1" showLastColumn="1" showRowStripes="1"/>
</table>
</file>

<file path=xl/tables/table120.xml><?xml version="1.0" encoding="utf-8"?>
<table xmlns="http://schemas.openxmlformats.org/spreadsheetml/2006/main" ref="AJ68:AJ69" displayName="Table_101" name="Table_101" id="101">
  <tableColumns count="1">
    <tableColumn name="(DUUR)" id="1"/>
  </tableColumns>
  <tableStyleInfo name="JUL2026-style 51" showColumnStripes="0" showFirstColumn="1" showLastColumn="1" showRowStripes="1"/>
</table>
</file>

<file path=xl/tables/table121.xml><?xml version="1.0" encoding="utf-8"?>
<table xmlns="http://schemas.openxmlformats.org/spreadsheetml/2006/main" headerRowCount="0" ref="B2:N13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B22:N33" displayName="Table_130" name="Table_130" id="13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P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B42:N53" displayName="Table_131" name="Table_131" id="13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P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ref="C3:J11" displayName="Table_122" name="Table_122" id="122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" showColumnStripes="0" showFirstColumn="1" showLastColumn="1" showRowStripes="1"/>
</table>
</file>

<file path=xl/tables/table125.xml><?xml version="1.0" encoding="utf-8"?>
<table xmlns="http://schemas.openxmlformats.org/spreadsheetml/2006/main" ref="C13:J21" displayName="Table_123" name="Table_123" id="123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2" showColumnStripes="0" showFirstColumn="1" showLastColumn="1" showRowStripes="1"/>
</table>
</file>

<file path=xl/tables/table126.xml><?xml version="1.0" encoding="utf-8"?>
<table xmlns="http://schemas.openxmlformats.org/spreadsheetml/2006/main" ref="C23:J31" displayName="Table_124" name="Table_124" id="124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3" showColumnStripes="0" showFirstColumn="1" showLastColumn="1" showRowStripes="1"/>
</table>
</file>

<file path=xl/tables/table127.xml><?xml version="1.0" encoding="utf-8"?>
<table xmlns="http://schemas.openxmlformats.org/spreadsheetml/2006/main" ref="C33:J41" displayName="Table_125" name="Table_125" id="125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4" showColumnStripes="0" showFirstColumn="1" showLastColumn="1" showRowStripes="1"/>
</table>
</file>

<file path=xl/tables/table128.xml><?xml version="1.0" encoding="utf-8"?>
<table xmlns="http://schemas.openxmlformats.org/spreadsheetml/2006/main" ref="C43:J51" displayName="Table_126" name="Table_126" id="126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5" showColumnStripes="0" showFirstColumn="1" showLastColumn="1" showRowStripes="1"/>
</table>
</file>

<file path=xl/tables/table129.xml><?xml version="1.0" encoding="utf-8"?>
<table xmlns="http://schemas.openxmlformats.org/spreadsheetml/2006/main" ref="C53:J61" displayName="Table_127" name="Table_127" id="127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6" showColumnStripes="0" showFirstColumn="1" showLastColumn="1" showRowStripes="1"/>
</table>
</file>

<file path=xl/tables/table130.xml><?xml version="1.0" encoding="utf-8"?>
<table xmlns="http://schemas.openxmlformats.org/spreadsheetml/2006/main" ref="C63:J71" displayName="Table_128" name="Table_128" id="128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7" showColumnStripes="0" showFirstColumn="1" showLastColumn="1" showRowStripes="1"/>
</table>
</file>

<file path=xl/tables/table131.xml><?xml version="1.0" encoding="utf-8"?>
<table xmlns="http://schemas.openxmlformats.org/spreadsheetml/2006/main" ref="C73:J81" displayName="Table_129" name="Table_129" id="129">
  <tableColumns count="8">
    <tableColumn name="DATE" id="1"/>
    <tableColumn name="WEIGHT" id="2"/>
    <tableColumn name="PROTEIN" id="3"/>
    <tableColumn name="CARBS" id="4"/>
    <tableColumn name="FATS" id="5"/>
    <tableColumn name="CALORIES" id="6"/>
    <tableColumn name="STEPS" id="7"/>
    <tableColumn name="SLEEP" id="8"/>
  </tableColumns>
  <tableStyleInfo name="External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2.xml"/><Relationship Id="rId83" Type="http://schemas.openxmlformats.org/officeDocument/2006/relationships/table" Target="../tables/table21.xml"/><Relationship Id="rId86" Type="http://schemas.openxmlformats.org/officeDocument/2006/relationships/table" Target="../tables/table24.xml"/><Relationship Id="rId85" Type="http://schemas.openxmlformats.org/officeDocument/2006/relationships/table" Target="../tables/table23.xml"/><Relationship Id="rId88" Type="http://schemas.openxmlformats.org/officeDocument/2006/relationships/table" Target="../tables/table26.xml"/><Relationship Id="rId87" Type="http://schemas.openxmlformats.org/officeDocument/2006/relationships/table" Target="../tables/table25.xml"/><Relationship Id="rId89" Type="http://schemas.openxmlformats.org/officeDocument/2006/relationships/table" Target="../tables/table27.xml"/><Relationship Id="rId80" Type="http://schemas.openxmlformats.org/officeDocument/2006/relationships/table" Target="../tables/table18.xml"/><Relationship Id="rId82" Type="http://schemas.openxmlformats.org/officeDocument/2006/relationships/table" Target="../tables/table20.xml"/><Relationship Id="rId81" Type="http://schemas.openxmlformats.org/officeDocument/2006/relationships/table" Target="../tables/table19.xml"/><Relationship Id="rId1" Type="http://schemas.openxmlformats.org/officeDocument/2006/relationships/drawing" Target="../drawings/drawing2.xml"/><Relationship Id="rId107" Type="http://schemas.openxmlformats.org/officeDocument/2006/relationships/table" Target="../tables/table45.xml"/><Relationship Id="rId106" Type="http://schemas.openxmlformats.org/officeDocument/2006/relationships/table" Target="../tables/table44.xml"/><Relationship Id="rId105" Type="http://schemas.openxmlformats.org/officeDocument/2006/relationships/table" Target="../tables/table43.xml"/><Relationship Id="rId104" Type="http://schemas.openxmlformats.org/officeDocument/2006/relationships/table" Target="../tables/table42.xml"/><Relationship Id="rId109" Type="http://schemas.openxmlformats.org/officeDocument/2006/relationships/table" Target="../tables/table47.xml"/><Relationship Id="rId108" Type="http://schemas.openxmlformats.org/officeDocument/2006/relationships/table" Target="../tables/table46.xml"/><Relationship Id="rId103" Type="http://schemas.openxmlformats.org/officeDocument/2006/relationships/table" Target="../tables/table41.xml"/><Relationship Id="rId102" Type="http://schemas.openxmlformats.org/officeDocument/2006/relationships/table" Target="../tables/table40.xml"/><Relationship Id="rId101" Type="http://schemas.openxmlformats.org/officeDocument/2006/relationships/table" Target="../tables/table39.xml"/><Relationship Id="rId100" Type="http://schemas.openxmlformats.org/officeDocument/2006/relationships/table" Target="../tables/table38.xml"/><Relationship Id="rId73" Type="http://schemas.openxmlformats.org/officeDocument/2006/relationships/table" Target="../tables/table11.xml"/><Relationship Id="rId72" Type="http://schemas.openxmlformats.org/officeDocument/2006/relationships/table" Target="../tables/table10.xml"/><Relationship Id="rId75" Type="http://schemas.openxmlformats.org/officeDocument/2006/relationships/table" Target="../tables/table13.xml"/><Relationship Id="rId74" Type="http://schemas.openxmlformats.org/officeDocument/2006/relationships/table" Target="../tables/table12.xml"/><Relationship Id="rId77" Type="http://schemas.openxmlformats.org/officeDocument/2006/relationships/table" Target="../tables/table15.xml"/><Relationship Id="rId76" Type="http://schemas.openxmlformats.org/officeDocument/2006/relationships/table" Target="../tables/table14.xml"/><Relationship Id="rId79" Type="http://schemas.openxmlformats.org/officeDocument/2006/relationships/table" Target="../tables/table17.xml"/><Relationship Id="rId78" Type="http://schemas.openxmlformats.org/officeDocument/2006/relationships/table" Target="../tables/table16.xml"/><Relationship Id="rId71" Type="http://schemas.openxmlformats.org/officeDocument/2006/relationships/table" Target="../tables/table9.xml"/><Relationship Id="rId70" Type="http://schemas.openxmlformats.org/officeDocument/2006/relationships/table" Target="../tables/table8.xml"/><Relationship Id="rId131" Type="http://schemas.openxmlformats.org/officeDocument/2006/relationships/table" Target="../tables/table69.xml"/><Relationship Id="rId130" Type="http://schemas.openxmlformats.org/officeDocument/2006/relationships/table" Target="../tables/table68.xml"/><Relationship Id="rId68" Type="http://schemas.openxmlformats.org/officeDocument/2006/relationships/table" Target="../tables/table6.xml"/><Relationship Id="rId67" Type="http://schemas.openxmlformats.org/officeDocument/2006/relationships/table" Target="../tables/table5.xml"/><Relationship Id="rId129" Type="http://schemas.openxmlformats.org/officeDocument/2006/relationships/table" Target="../tables/table67.xml"/><Relationship Id="rId128" Type="http://schemas.openxmlformats.org/officeDocument/2006/relationships/table" Target="../tables/table66.xml"/><Relationship Id="rId127" Type="http://schemas.openxmlformats.org/officeDocument/2006/relationships/table" Target="../tables/table65.xml"/><Relationship Id="rId126" Type="http://schemas.openxmlformats.org/officeDocument/2006/relationships/table" Target="../tables/table64.xml"/><Relationship Id="rId121" Type="http://schemas.openxmlformats.org/officeDocument/2006/relationships/table" Target="../tables/table59.xml"/><Relationship Id="rId69" Type="http://schemas.openxmlformats.org/officeDocument/2006/relationships/table" Target="../tables/table7.xml"/><Relationship Id="rId120" Type="http://schemas.openxmlformats.org/officeDocument/2006/relationships/table" Target="../tables/table58.xml"/><Relationship Id="rId125" Type="http://schemas.openxmlformats.org/officeDocument/2006/relationships/table" Target="../tables/table63.xml"/><Relationship Id="rId124" Type="http://schemas.openxmlformats.org/officeDocument/2006/relationships/table" Target="../tables/table62.xml"/><Relationship Id="rId123" Type="http://schemas.openxmlformats.org/officeDocument/2006/relationships/table" Target="../tables/table61.xml"/><Relationship Id="rId122" Type="http://schemas.openxmlformats.org/officeDocument/2006/relationships/table" Target="../tables/table60.xml"/><Relationship Id="rId95" Type="http://schemas.openxmlformats.org/officeDocument/2006/relationships/table" Target="../tables/table33.xml"/><Relationship Id="rId94" Type="http://schemas.openxmlformats.org/officeDocument/2006/relationships/table" Target="../tables/table32.xml"/><Relationship Id="rId97" Type="http://schemas.openxmlformats.org/officeDocument/2006/relationships/table" Target="../tables/table35.xml"/><Relationship Id="rId96" Type="http://schemas.openxmlformats.org/officeDocument/2006/relationships/table" Target="../tables/table34.xml"/><Relationship Id="rId99" Type="http://schemas.openxmlformats.org/officeDocument/2006/relationships/table" Target="../tables/table37.xml"/><Relationship Id="rId98" Type="http://schemas.openxmlformats.org/officeDocument/2006/relationships/table" Target="../tables/table36.xml"/><Relationship Id="rId91" Type="http://schemas.openxmlformats.org/officeDocument/2006/relationships/table" Target="../tables/table29.xml"/><Relationship Id="rId90" Type="http://schemas.openxmlformats.org/officeDocument/2006/relationships/table" Target="../tables/table28.xml"/><Relationship Id="rId93" Type="http://schemas.openxmlformats.org/officeDocument/2006/relationships/table" Target="../tables/table31.xml"/><Relationship Id="rId92" Type="http://schemas.openxmlformats.org/officeDocument/2006/relationships/table" Target="../tables/table30.xml"/><Relationship Id="rId118" Type="http://schemas.openxmlformats.org/officeDocument/2006/relationships/table" Target="../tables/table56.xml"/><Relationship Id="rId117" Type="http://schemas.openxmlformats.org/officeDocument/2006/relationships/table" Target="../tables/table55.xml"/><Relationship Id="rId116" Type="http://schemas.openxmlformats.org/officeDocument/2006/relationships/table" Target="../tables/table54.xml"/><Relationship Id="rId115" Type="http://schemas.openxmlformats.org/officeDocument/2006/relationships/table" Target="../tables/table53.xml"/><Relationship Id="rId119" Type="http://schemas.openxmlformats.org/officeDocument/2006/relationships/table" Target="../tables/table57.xml"/><Relationship Id="rId110" Type="http://schemas.openxmlformats.org/officeDocument/2006/relationships/table" Target="../tables/table48.xml"/><Relationship Id="rId114" Type="http://schemas.openxmlformats.org/officeDocument/2006/relationships/table" Target="../tables/table52.xml"/><Relationship Id="rId113" Type="http://schemas.openxmlformats.org/officeDocument/2006/relationships/table" Target="../tables/table51.xml"/><Relationship Id="rId112" Type="http://schemas.openxmlformats.org/officeDocument/2006/relationships/table" Target="../tables/table50.xml"/><Relationship Id="rId111" Type="http://schemas.openxmlformats.org/officeDocument/2006/relationships/table" Target="../tables/table49.x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01.xml"/><Relationship Id="rId83" Type="http://schemas.openxmlformats.org/officeDocument/2006/relationships/table" Target="../tables/table100.xml"/><Relationship Id="rId86" Type="http://schemas.openxmlformats.org/officeDocument/2006/relationships/table" Target="../tables/table103.xml"/><Relationship Id="rId85" Type="http://schemas.openxmlformats.org/officeDocument/2006/relationships/table" Target="../tables/table102.xml"/><Relationship Id="rId88" Type="http://schemas.openxmlformats.org/officeDocument/2006/relationships/table" Target="../tables/table105.xml"/><Relationship Id="rId87" Type="http://schemas.openxmlformats.org/officeDocument/2006/relationships/table" Target="../tables/table104.xml"/><Relationship Id="rId89" Type="http://schemas.openxmlformats.org/officeDocument/2006/relationships/table" Target="../tables/table106.xml"/><Relationship Id="rId80" Type="http://schemas.openxmlformats.org/officeDocument/2006/relationships/table" Target="../tables/table97.xml"/><Relationship Id="rId82" Type="http://schemas.openxmlformats.org/officeDocument/2006/relationships/table" Target="../tables/table99.xml"/><Relationship Id="rId81" Type="http://schemas.openxmlformats.org/officeDocument/2006/relationships/table" Target="../tables/table98.xml"/><Relationship Id="rId1" Type="http://schemas.openxmlformats.org/officeDocument/2006/relationships/drawing" Target="../drawings/drawing3.xml"/><Relationship Id="rId103" Type="http://schemas.openxmlformats.org/officeDocument/2006/relationships/table" Target="../tables/table120.xml"/><Relationship Id="rId102" Type="http://schemas.openxmlformats.org/officeDocument/2006/relationships/table" Target="../tables/table119.xml"/><Relationship Id="rId101" Type="http://schemas.openxmlformats.org/officeDocument/2006/relationships/table" Target="../tables/table118.xml"/><Relationship Id="rId100" Type="http://schemas.openxmlformats.org/officeDocument/2006/relationships/table" Target="../tables/table117.xml"/><Relationship Id="rId73" Type="http://schemas.openxmlformats.org/officeDocument/2006/relationships/table" Target="../tables/table90.xml"/><Relationship Id="rId72" Type="http://schemas.openxmlformats.org/officeDocument/2006/relationships/table" Target="../tables/table89.xml"/><Relationship Id="rId75" Type="http://schemas.openxmlformats.org/officeDocument/2006/relationships/table" Target="../tables/table92.xml"/><Relationship Id="rId74" Type="http://schemas.openxmlformats.org/officeDocument/2006/relationships/table" Target="../tables/table91.xml"/><Relationship Id="rId77" Type="http://schemas.openxmlformats.org/officeDocument/2006/relationships/table" Target="../tables/table94.xml"/><Relationship Id="rId76" Type="http://schemas.openxmlformats.org/officeDocument/2006/relationships/table" Target="../tables/table93.xml"/><Relationship Id="rId79" Type="http://schemas.openxmlformats.org/officeDocument/2006/relationships/table" Target="../tables/table96.xml"/><Relationship Id="rId78" Type="http://schemas.openxmlformats.org/officeDocument/2006/relationships/table" Target="../tables/table95.xml"/><Relationship Id="rId71" Type="http://schemas.openxmlformats.org/officeDocument/2006/relationships/table" Target="../tables/table88.xml"/><Relationship Id="rId70" Type="http://schemas.openxmlformats.org/officeDocument/2006/relationships/table" Target="../tables/table87.xml"/><Relationship Id="rId62" Type="http://schemas.openxmlformats.org/officeDocument/2006/relationships/table" Target="../tables/table79.xml"/><Relationship Id="rId61" Type="http://schemas.openxmlformats.org/officeDocument/2006/relationships/table" Target="../tables/table78.xml"/><Relationship Id="rId64" Type="http://schemas.openxmlformats.org/officeDocument/2006/relationships/table" Target="../tables/table81.xml"/><Relationship Id="rId63" Type="http://schemas.openxmlformats.org/officeDocument/2006/relationships/table" Target="../tables/table80.xml"/><Relationship Id="rId66" Type="http://schemas.openxmlformats.org/officeDocument/2006/relationships/table" Target="../tables/table83.xml"/><Relationship Id="rId65" Type="http://schemas.openxmlformats.org/officeDocument/2006/relationships/table" Target="../tables/table82.xml"/><Relationship Id="rId68" Type="http://schemas.openxmlformats.org/officeDocument/2006/relationships/table" Target="../tables/table85.xml"/><Relationship Id="rId67" Type="http://schemas.openxmlformats.org/officeDocument/2006/relationships/table" Target="../tables/table84.xml"/><Relationship Id="rId60" Type="http://schemas.openxmlformats.org/officeDocument/2006/relationships/table" Target="../tables/table77.xml"/><Relationship Id="rId69" Type="http://schemas.openxmlformats.org/officeDocument/2006/relationships/table" Target="../tables/table86.xml"/><Relationship Id="rId95" Type="http://schemas.openxmlformats.org/officeDocument/2006/relationships/table" Target="../tables/table112.xml"/><Relationship Id="rId94" Type="http://schemas.openxmlformats.org/officeDocument/2006/relationships/table" Target="../tables/table111.xml"/><Relationship Id="rId53" Type="http://schemas.openxmlformats.org/officeDocument/2006/relationships/table" Target="../tables/table70.xml"/><Relationship Id="rId97" Type="http://schemas.openxmlformats.org/officeDocument/2006/relationships/table" Target="../tables/table114.xml"/><Relationship Id="rId96" Type="http://schemas.openxmlformats.org/officeDocument/2006/relationships/table" Target="../tables/table113.xml"/><Relationship Id="rId55" Type="http://schemas.openxmlformats.org/officeDocument/2006/relationships/table" Target="../tables/table72.xml"/><Relationship Id="rId99" Type="http://schemas.openxmlformats.org/officeDocument/2006/relationships/table" Target="../tables/table116.xml"/><Relationship Id="rId54" Type="http://schemas.openxmlformats.org/officeDocument/2006/relationships/table" Target="../tables/table71.xml"/><Relationship Id="rId98" Type="http://schemas.openxmlformats.org/officeDocument/2006/relationships/table" Target="../tables/table115.xml"/><Relationship Id="rId57" Type="http://schemas.openxmlformats.org/officeDocument/2006/relationships/table" Target="../tables/table74.xml"/><Relationship Id="rId56" Type="http://schemas.openxmlformats.org/officeDocument/2006/relationships/table" Target="../tables/table73.xml"/><Relationship Id="rId91" Type="http://schemas.openxmlformats.org/officeDocument/2006/relationships/table" Target="../tables/table108.xml"/><Relationship Id="rId90" Type="http://schemas.openxmlformats.org/officeDocument/2006/relationships/table" Target="../tables/table107.xml"/><Relationship Id="rId93" Type="http://schemas.openxmlformats.org/officeDocument/2006/relationships/table" Target="../tables/table110.xml"/><Relationship Id="rId92" Type="http://schemas.openxmlformats.org/officeDocument/2006/relationships/table" Target="../tables/table109.xml"/><Relationship Id="rId59" Type="http://schemas.openxmlformats.org/officeDocument/2006/relationships/table" Target="../tables/table76.xml"/><Relationship Id="rId58" Type="http://schemas.openxmlformats.org/officeDocument/2006/relationships/table" Target="../tables/table7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21.xml"/><Relationship Id="rId6" Type="http://schemas.openxmlformats.org/officeDocument/2006/relationships/table" Target="../tables/table122.xml"/><Relationship Id="rId7" Type="http://schemas.openxmlformats.org/officeDocument/2006/relationships/table" Target="../tables/table12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25.xml"/><Relationship Id="rId10" Type="http://schemas.openxmlformats.org/officeDocument/2006/relationships/table" Target="../tables/table124.xml"/><Relationship Id="rId13" Type="http://schemas.openxmlformats.org/officeDocument/2006/relationships/table" Target="../tables/table127.xml"/><Relationship Id="rId12" Type="http://schemas.openxmlformats.org/officeDocument/2006/relationships/table" Target="../tables/table126.xml"/><Relationship Id="rId15" Type="http://schemas.openxmlformats.org/officeDocument/2006/relationships/table" Target="../tables/table129.xml"/><Relationship Id="rId14" Type="http://schemas.openxmlformats.org/officeDocument/2006/relationships/table" Target="../tables/table128.xml"/><Relationship Id="rId17" Type="http://schemas.openxmlformats.org/officeDocument/2006/relationships/table" Target="../tables/table131.xml"/><Relationship Id="rId16" Type="http://schemas.openxmlformats.org/officeDocument/2006/relationships/table" Target="../tables/table1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0.0"/>
    <col customWidth="1" min="3" max="3" width="19.13"/>
    <col customWidth="1" min="4" max="4" width="17.75"/>
    <col customWidth="1" min="5" max="5" width="20.38"/>
    <col customWidth="1" min="6" max="6" width="21.75"/>
  </cols>
  <sheetData>
    <row r="1">
      <c r="A1" s="1" t="s">
        <v>0</v>
      </c>
      <c r="B1" s="3" t="s">
        <v>1</v>
      </c>
    </row>
    <row r="2">
      <c r="A2" s="4" t="s">
        <v>2</v>
      </c>
      <c r="B2" s="6" t="s">
        <v>4</v>
      </c>
    </row>
    <row r="3">
      <c r="A3" s="1" t="s">
        <v>5</v>
      </c>
      <c r="B3" s="3">
        <v>21.0</v>
      </c>
    </row>
    <row r="4">
      <c r="A4" s="4" t="s">
        <v>6</v>
      </c>
      <c r="B4" s="8" t="s">
        <v>7</v>
      </c>
    </row>
    <row r="5">
      <c r="A5" s="1" t="s">
        <v>8</v>
      </c>
      <c r="B5" s="3" t="s">
        <v>9</v>
      </c>
    </row>
    <row r="6">
      <c r="A6" s="4" t="s">
        <v>10</v>
      </c>
      <c r="B6" s="10">
        <v>46209.0</v>
      </c>
    </row>
    <row r="8">
      <c r="A8" s="2"/>
      <c r="B8" s="2"/>
    </row>
    <row r="9">
      <c r="A9" s="2"/>
      <c r="B9" s="12"/>
    </row>
    <row r="10">
      <c r="A10" s="13"/>
      <c r="B10" s="2"/>
    </row>
    <row r="11">
      <c r="A11" s="14" t="s">
        <v>12</v>
      </c>
      <c r="B11" s="15">
        <v>105.0</v>
      </c>
    </row>
    <row r="12">
      <c r="A12" s="14" t="s">
        <v>13</v>
      </c>
      <c r="B12" s="15">
        <v>150.0</v>
      </c>
    </row>
    <row r="14">
      <c r="A14" s="17" t="s">
        <v>14</v>
      </c>
    </row>
    <row r="15">
      <c r="A15" s="18" t="s">
        <v>15</v>
      </c>
      <c r="B15" s="18" t="s">
        <v>16</v>
      </c>
      <c r="C15" s="19" t="s">
        <v>17</v>
      </c>
      <c r="D15" s="18" t="s">
        <v>18</v>
      </c>
    </row>
    <row r="16">
      <c r="A16" s="21" t="s">
        <v>19</v>
      </c>
      <c r="B16" s="21" t="s">
        <v>20</v>
      </c>
      <c r="C16" s="22" t="s">
        <v>21</v>
      </c>
      <c r="D16" s="21" t="s">
        <v>22</v>
      </c>
    </row>
    <row r="17">
      <c r="A17" s="18" t="s">
        <v>23</v>
      </c>
      <c r="B17" s="18" t="s">
        <v>24</v>
      </c>
      <c r="C17" s="19" t="s">
        <v>25</v>
      </c>
      <c r="D17" s="18" t="s">
        <v>26</v>
      </c>
    </row>
    <row r="18">
      <c r="A18" s="21" t="s">
        <v>27</v>
      </c>
      <c r="B18" s="21" t="s">
        <v>28</v>
      </c>
      <c r="C18" s="22" t="s">
        <v>29</v>
      </c>
      <c r="D18" s="21" t="s">
        <v>30</v>
      </c>
    </row>
    <row r="19">
      <c r="A19" s="18" t="s">
        <v>31</v>
      </c>
      <c r="B19" s="18" t="s">
        <v>32</v>
      </c>
      <c r="C19" s="19" t="s">
        <v>33</v>
      </c>
      <c r="D19" s="24"/>
    </row>
    <row r="20">
      <c r="A20" s="21" t="s">
        <v>34</v>
      </c>
      <c r="B20" s="21" t="s">
        <v>35</v>
      </c>
      <c r="C20" s="22" t="s">
        <v>36</v>
      </c>
      <c r="D20" s="9"/>
    </row>
    <row r="21">
      <c r="A21" s="18" t="s">
        <v>37</v>
      </c>
      <c r="B21" s="24"/>
      <c r="C21" s="19" t="s">
        <v>38</v>
      </c>
      <c r="D21" s="24"/>
    </row>
    <row r="22">
      <c r="A22" s="21" t="s">
        <v>39</v>
      </c>
      <c r="B22" s="9"/>
      <c r="C22" s="22" t="s">
        <v>41</v>
      </c>
      <c r="D22" s="9"/>
    </row>
    <row r="23">
      <c r="A23" s="18" t="s">
        <v>42</v>
      </c>
      <c r="B23" s="24"/>
      <c r="C23" s="26"/>
      <c r="D23" s="24"/>
    </row>
    <row r="24">
      <c r="A24" s="9"/>
      <c r="B24" s="9"/>
      <c r="C24" s="27"/>
      <c r="D24" s="9"/>
    </row>
    <row r="25">
      <c r="A25" s="24"/>
      <c r="B25" s="24"/>
      <c r="C25" s="26"/>
      <c r="D25" s="24"/>
    </row>
    <row r="28">
      <c r="A28" s="14" t="s">
        <v>48</v>
      </c>
      <c r="B28" s="15">
        <v>105.0</v>
      </c>
    </row>
    <row r="29">
      <c r="A29" s="14" t="s">
        <v>51</v>
      </c>
      <c r="B29" s="15">
        <v>160.0</v>
      </c>
    </row>
    <row r="30">
      <c r="A30" s="28" t="s">
        <v>52</v>
      </c>
      <c r="B30" s="29">
        <v>135.0</v>
      </c>
    </row>
    <row r="31">
      <c r="A31" s="28" t="s">
        <v>54</v>
      </c>
      <c r="B31" s="29">
        <f>SUM(B28:B30)</f>
        <v>400</v>
      </c>
    </row>
    <row r="35">
      <c r="A35" s="14" t="s">
        <v>62</v>
      </c>
      <c r="B35" s="14" t="s">
        <v>63</v>
      </c>
      <c r="C35" s="14" t="s">
        <v>65</v>
      </c>
      <c r="D35" s="14" t="s">
        <v>66</v>
      </c>
      <c r="E35" s="14" t="s">
        <v>54</v>
      </c>
    </row>
    <row r="36">
      <c r="A36" s="34" t="s">
        <v>68</v>
      </c>
      <c r="B36" s="15">
        <v>100.0</v>
      </c>
      <c r="C36" s="15">
        <v>105.0</v>
      </c>
      <c r="D36" s="15">
        <v>150.0</v>
      </c>
      <c r="E36" s="31">
        <f t="shared" ref="E36:E47" si="1">SUM(B36,C36,D36)</f>
        <v>355</v>
      </c>
    </row>
    <row r="37">
      <c r="A37" s="34" t="s">
        <v>74</v>
      </c>
      <c r="B37" s="15">
        <v>135.0</v>
      </c>
      <c r="C37" s="15">
        <v>105.0</v>
      </c>
      <c r="D37" s="15">
        <v>160.0</v>
      </c>
      <c r="E37" s="31">
        <f t="shared" si="1"/>
        <v>400</v>
      </c>
    </row>
    <row r="38">
      <c r="A38" s="34" t="s">
        <v>76</v>
      </c>
      <c r="B38" s="31"/>
      <c r="C38" s="31"/>
      <c r="D38" s="31"/>
      <c r="E38" s="31">
        <f t="shared" si="1"/>
        <v>0</v>
      </c>
    </row>
    <row r="39">
      <c r="A39" s="34" t="s">
        <v>77</v>
      </c>
      <c r="B39" s="31"/>
      <c r="C39" s="31"/>
      <c r="D39" s="31"/>
      <c r="E39" s="31">
        <f t="shared" si="1"/>
        <v>0</v>
      </c>
    </row>
    <row r="40">
      <c r="A40" s="34" t="s">
        <v>78</v>
      </c>
      <c r="B40" s="31"/>
      <c r="C40" s="31"/>
      <c r="D40" s="31"/>
      <c r="E40" s="31">
        <f t="shared" si="1"/>
        <v>0</v>
      </c>
    </row>
    <row r="41">
      <c r="A41" s="34" t="s">
        <v>80</v>
      </c>
      <c r="B41" s="15"/>
      <c r="C41" s="31"/>
      <c r="D41" s="31"/>
      <c r="E41" s="31">
        <f t="shared" si="1"/>
        <v>0</v>
      </c>
    </row>
    <row r="42">
      <c r="A42" s="34" t="s">
        <v>81</v>
      </c>
      <c r="B42" s="31"/>
      <c r="C42" s="31"/>
      <c r="D42" s="31"/>
      <c r="E42" s="31">
        <f t="shared" si="1"/>
        <v>0</v>
      </c>
    </row>
    <row r="43">
      <c r="A43" s="34" t="s">
        <v>82</v>
      </c>
      <c r="B43" s="31"/>
      <c r="C43" s="31"/>
      <c r="D43" s="31"/>
      <c r="E43" s="31">
        <f t="shared" si="1"/>
        <v>0</v>
      </c>
    </row>
    <row r="44">
      <c r="A44" s="34" t="s">
        <v>84</v>
      </c>
      <c r="B44" s="31"/>
      <c r="C44" s="31"/>
      <c r="D44" s="31"/>
      <c r="E44" s="31">
        <f t="shared" si="1"/>
        <v>0</v>
      </c>
    </row>
    <row r="45">
      <c r="A45" s="34" t="s">
        <v>87</v>
      </c>
      <c r="B45" s="31"/>
      <c r="C45" s="31"/>
      <c r="D45" s="31"/>
      <c r="E45" s="31">
        <f t="shared" si="1"/>
        <v>0</v>
      </c>
    </row>
    <row r="46">
      <c r="A46" s="34" t="s">
        <v>89</v>
      </c>
      <c r="B46" s="31"/>
      <c r="C46" s="31"/>
      <c r="D46" s="31"/>
      <c r="E46" s="31">
        <f t="shared" si="1"/>
        <v>0</v>
      </c>
    </row>
    <row r="47">
      <c r="A47" s="34" t="s">
        <v>91</v>
      </c>
      <c r="B47" s="31"/>
      <c r="C47" s="31"/>
      <c r="D47" s="31"/>
      <c r="E47" s="31">
        <f t="shared" si="1"/>
        <v>0</v>
      </c>
    </row>
  </sheetData>
  <mergeCells count="1">
    <mergeCell ref="A14:D14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7.88"/>
    <col customWidth="1" min="3" max="3" width="31.88"/>
    <col customWidth="1" min="4" max="4" width="18.25"/>
    <col customWidth="1" min="5" max="5" width="15.75"/>
    <col customWidth="1" min="6" max="6" width="40.38"/>
    <col customWidth="1" min="7" max="8" width="30.63"/>
    <col customWidth="1" min="9" max="9" width="26.63"/>
    <col customWidth="1" min="13" max="13" width="40.5"/>
    <col customWidth="1" min="14" max="14" width="31.63"/>
    <col customWidth="1" min="15" max="15" width="16.38"/>
    <col customWidth="1" min="16" max="16" width="24.75"/>
    <col customWidth="1" min="17" max="17" width="20.0"/>
    <col customWidth="1" min="18" max="18" width="33.25"/>
    <col customWidth="1" min="19" max="19" width="17.88"/>
    <col customWidth="1" min="20" max="20" width="37.88"/>
    <col customWidth="1" min="24" max="24" width="40.5"/>
    <col customWidth="1" min="25" max="25" width="22.63"/>
    <col customWidth="1" min="27" max="27" width="15.25"/>
    <col customWidth="1" min="28" max="28" width="24.63"/>
    <col customWidth="1" min="29" max="29" width="30.63"/>
    <col customWidth="1" min="30" max="30" width="22.0"/>
    <col customWidth="1" min="31" max="31" width="33.0"/>
    <col customWidth="1" min="35" max="35" width="52.75"/>
    <col customWidth="1" min="36" max="36" width="25.75"/>
    <col customWidth="1" min="39" max="39" width="17.5"/>
    <col customWidth="1" min="40" max="40" width="34.38"/>
    <col customWidth="1" min="41" max="41" width="22.5"/>
    <col customWidth="1" min="42" max="42" width="40.38"/>
    <col customWidth="1" min="46" max="46" width="42.88"/>
    <col customWidth="1" min="47" max="47" width="18.88"/>
    <col customWidth="1" min="48" max="48" width="24.13"/>
    <col customWidth="1" min="49" max="49" width="25.63"/>
    <col customWidth="1" min="50" max="50" width="28.25"/>
    <col customWidth="1" min="51" max="51" width="38.38"/>
    <col customWidth="1" min="52" max="52" width="33.13"/>
    <col customWidth="1" min="53" max="53" width="25.13"/>
    <col customWidth="1" min="55" max="55" width="29.75"/>
  </cols>
  <sheetData>
    <row r="1">
      <c r="B1" s="2"/>
      <c r="C1" s="5" t="s">
        <v>3</v>
      </c>
      <c r="K1" s="7"/>
      <c r="V1" s="7"/>
      <c r="AG1" s="7"/>
      <c r="AR1" s="7"/>
      <c r="BC1" s="7"/>
    </row>
    <row r="2">
      <c r="B2" s="2"/>
      <c r="C2" s="11" t="s">
        <v>11</v>
      </c>
      <c r="K2" s="7"/>
      <c r="V2" s="7"/>
      <c r="AG2" s="7"/>
      <c r="AR2" s="7"/>
      <c r="BC2" s="7"/>
    </row>
    <row r="3">
      <c r="B3" s="2"/>
      <c r="K3" s="7"/>
      <c r="V3" s="7"/>
      <c r="AG3" s="7"/>
      <c r="AR3" s="7"/>
      <c r="BC3" s="7"/>
    </row>
    <row r="4">
      <c r="B4" s="2"/>
      <c r="K4" s="7"/>
      <c r="V4" s="7"/>
      <c r="AG4" s="7"/>
      <c r="AR4" s="7"/>
      <c r="BC4" s="7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>
      <c r="B5" s="2"/>
      <c r="K5" s="7"/>
      <c r="V5" s="7"/>
      <c r="AG5" s="7"/>
      <c r="AR5" s="7"/>
      <c r="BC5" s="7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>
      <c r="B6" s="2"/>
      <c r="K6" s="7"/>
      <c r="V6" s="7"/>
      <c r="AG6" s="7"/>
      <c r="AR6" s="7"/>
      <c r="BC6" s="7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>
      <c r="B7" s="2"/>
      <c r="C7" s="20"/>
      <c r="D7" s="20"/>
      <c r="E7" s="20"/>
      <c r="F7" s="20"/>
      <c r="K7" s="7"/>
      <c r="V7" s="7"/>
      <c r="AG7" s="7"/>
      <c r="AR7" s="7"/>
      <c r="BC7" s="7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>
      <c r="B8" s="2"/>
      <c r="C8" s="20"/>
      <c r="D8" s="20"/>
      <c r="E8" s="20"/>
      <c r="F8" s="20"/>
      <c r="K8" s="7"/>
      <c r="V8" s="7"/>
      <c r="AG8" s="7"/>
      <c r="AR8" s="7"/>
      <c r="BC8" s="7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>
      <c r="K9" s="7"/>
      <c r="V9" s="7"/>
      <c r="AG9" s="7"/>
      <c r="AR9" s="7"/>
      <c r="BC9" s="7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7"/>
      <c r="L10" s="9"/>
      <c r="M10" s="9"/>
      <c r="N10" s="9"/>
      <c r="O10" s="9"/>
      <c r="P10" s="9"/>
      <c r="Q10" s="9"/>
      <c r="R10" s="9"/>
      <c r="S10" s="9"/>
      <c r="T10" s="9"/>
      <c r="U10" s="16"/>
      <c r="V10" s="25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25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25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25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>
      <c r="B11" s="30" t="s">
        <v>53</v>
      </c>
      <c r="K11" s="7"/>
      <c r="M11" s="30" t="s">
        <v>55</v>
      </c>
      <c r="V11" s="7"/>
      <c r="X11" s="30" t="s">
        <v>56</v>
      </c>
      <c r="AG11" s="7"/>
      <c r="AI11" s="30" t="s">
        <v>57</v>
      </c>
      <c r="AR11" s="7"/>
      <c r="AT11" s="30" t="s">
        <v>58</v>
      </c>
      <c r="BC11" s="7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>
      <c r="K12" s="7"/>
      <c r="V12" s="7"/>
      <c r="AG12" s="7"/>
      <c r="AR12" s="7"/>
      <c r="BC12" s="7"/>
    </row>
    <row r="13">
      <c r="B13" s="15" t="s">
        <v>40</v>
      </c>
      <c r="C13" s="15" t="s">
        <v>43</v>
      </c>
      <c r="D13" s="14" t="s">
        <v>44</v>
      </c>
      <c r="E13" s="14" t="s">
        <v>45</v>
      </c>
      <c r="F13" s="14" t="s">
        <v>46</v>
      </c>
      <c r="G13" s="14" t="s">
        <v>47</v>
      </c>
      <c r="H13" s="14" t="s">
        <v>49</v>
      </c>
      <c r="I13" s="14" t="s">
        <v>50</v>
      </c>
      <c r="K13" s="7"/>
      <c r="M13" s="15" t="s">
        <v>40</v>
      </c>
      <c r="N13" s="15" t="s">
        <v>43</v>
      </c>
      <c r="O13" s="14" t="s">
        <v>44</v>
      </c>
      <c r="P13" s="14" t="s">
        <v>45</v>
      </c>
      <c r="Q13" s="14" t="s">
        <v>46</v>
      </c>
      <c r="R13" s="14" t="s">
        <v>47</v>
      </c>
      <c r="S13" s="14" t="s">
        <v>49</v>
      </c>
      <c r="T13" s="14" t="s">
        <v>50</v>
      </c>
      <c r="V13" s="7"/>
      <c r="X13" s="15" t="s">
        <v>40</v>
      </c>
      <c r="Y13" s="15" t="s">
        <v>43</v>
      </c>
      <c r="Z13" s="14" t="s">
        <v>44</v>
      </c>
      <c r="AA13" s="14" t="s">
        <v>45</v>
      </c>
      <c r="AB13" s="14" t="s">
        <v>46</v>
      </c>
      <c r="AC13" s="14" t="s">
        <v>47</v>
      </c>
      <c r="AD13" s="14" t="s">
        <v>49</v>
      </c>
      <c r="AE13" s="14" t="s">
        <v>50</v>
      </c>
      <c r="AG13" s="7"/>
      <c r="AI13" s="15" t="s">
        <v>40</v>
      </c>
      <c r="AJ13" s="15" t="s">
        <v>43</v>
      </c>
      <c r="AK13" s="14" t="s">
        <v>44</v>
      </c>
      <c r="AL13" s="14" t="s">
        <v>45</v>
      </c>
      <c r="AM13" s="14" t="s">
        <v>46</v>
      </c>
      <c r="AN13" s="14" t="s">
        <v>47</v>
      </c>
      <c r="AO13" s="14" t="s">
        <v>49</v>
      </c>
      <c r="AP13" s="14" t="s">
        <v>50</v>
      </c>
      <c r="AR13" s="7"/>
      <c r="AT13" s="15" t="s">
        <v>40</v>
      </c>
      <c r="AU13" s="15" t="s">
        <v>43</v>
      </c>
      <c r="AV13" s="14" t="s">
        <v>44</v>
      </c>
      <c r="AW13" s="14" t="s">
        <v>45</v>
      </c>
      <c r="AX13" s="14" t="s">
        <v>46</v>
      </c>
      <c r="AY13" s="14" t="s">
        <v>47</v>
      </c>
      <c r="AZ13" s="14" t="s">
        <v>49</v>
      </c>
      <c r="BA13" s="14" t="s">
        <v>50</v>
      </c>
      <c r="BC13" s="7"/>
    </row>
    <row r="14">
      <c r="B14" s="32" t="s">
        <v>63</v>
      </c>
      <c r="C14" s="15"/>
      <c r="D14" s="32">
        <v>1.0</v>
      </c>
      <c r="E14" s="32">
        <v>1.0</v>
      </c>
      <c r="F14" s="32" t="s">
        <v>64</v>
      </c>
      <c r="G14" s="32">
        <v>100.0</v>
      </c>
      <c r="H14" s="32">
        <v>6.0</v>
      </c>
      <c r="I14" s="32"/>
      <c r="K14" s="7"/>
      <c r="M14" s="32" t="s">
        <v>63</v>
      </c>
      <c r="N14" s="33"/>
      <c r="O14" s="32">
        <v>1.0</v>
      </c>
      <c r="P14" s="32">
        <v>1.0</v>
      </c>
      <c r="Q14" s="32" t="s">
        <v>90</v>
      </c>
      <c r="R14" s="32">
        <v>115.0</v>
      </c>
      <c r="S14" s="32">
        <v>7.0</v>
      </c>
      <c r="T14" s="33"/>
      <c r="V14" s="7"/>
      <c r="X14" s="32" t="s">
        <v>63</v>
      </c>
      <c r="Y14" s="33"/>
      <c r="Z14" s="32">
        <v>1.0</v>
      </c>
      <c r="AA14" s="32">
        <v>1.0</v>
      </c>
      <c r="AB14" s="32" t="s">
        <v>92</v>
      </c>
      <c r="AC14" s="15">
        <v>135.0</v>
      </c>
      <c r="AD14" s="15">
        <v>9.0</v>
      </c>
      <c r="AE14" s="15"/>
      <c r="AG14" s="7"/>
      <c r="AI14" s="32" t="s">
        <v>63</v>
      </c>
      <c r="AJ14" s="33"/>
      <c r="AK14" s="32">
        <v>4.0</v>
      </c>
      <c r="AL14" s="32">
        <v>6.0</v>
      </c>
      <c r="AM14" s="32" t="s">
        <v>64</v>
      </c>
      <c r="AN14" s="15">
        <v>100.0</v>
      </c>
      <c r="AO14" s="36">
        <v>46209.0</v>
      </c>
      <c r="AP14" s="15"/>
      <c r="AR14" s="7"/>
      <c r="AT14" s="32" t="s">
        <v>63</v>
      </c>
      <c r="AU14" s="33"/>
      <c r="AV14" s="32">
        <v>4.0</v>
      </c>
      <c r="AW14" s="32">
        <v>6.0</v>
      </c>
      <c r="AX14" s="32" t="s">
        <v>69</v>
      </c>
      <c r="AY14" s="15">
        <v>102.5</v>
      </c>
      <c r="AZ14" s="15">
        <v>7.0</v>
      </c>
      <c r="BA14" s="15"/>
      <c r="BC14" s="7"/>
    </row>
    <row r="15">
      <c r="B15" s="32" t="s">
        <v>63</v>
      </c>
      <c r="C15" s="31"/>
      <c r="D15" s="32">
        <v>3.0</v>
      </c>
      <c r="E15" s="32">
        <v>5.0</v>
      </c>
      <c r="F15" s="32" t="s">
        <v>64</v>
      </c>
      <c r="G15" s="32">
        <v>70.0</v>
      </c>
      <c r="H15" s="32" t="s">
        <v>94</v>
      </c>
      <c r="I15" s="32" t="s">
        <v>95</v>
      </c>
      <c r="K15" s="7"/>
      <c r="M15" s="32" t="s">
        <v>63</v>
      </c>
      <c r="N15" s="33"/>
      <c r="O15" s="32">
        <v>3.0</v>
      </c>
      <c r="P15" s="32">
        <v>5.0</v>
      </c>
      <c r="Q15" s="32" t="s">
        <v>90</v>
      </c>
      <c r="R15" s="32">
        <v>90.0</v>
      </c>
      <c r="S15" s="32">
        <v>7.0</v>
      </c>
      <c r="T15" s="33"/>
      <c r="V15" s="7"/>
      <c r="X15" s="32" t="s">
        <v>63</v>
      </c>
      <c r="Y15" s="33"/>
      <c r="Z15" s="32">
        <v>3.0</v>
      </c>
      <c r="AA15" s="32">
        <v>5.0</v>
      </c>
      <c r="AB15" s="32" t="s">
        <v>93</v>
      </c>
      <c r="AC15" s="15">
        <v>100.0</v>
      </c>
      <c r="AD15" s="15">
        <v>8.5</v>
      </c>
      <c r="AE15" s="31"/>
      <c r="AG15" s="7"/>
      <c r="AI15" s="32" t="s">
        <v>79</v>
      </c>
      <c r="AJ15" s="33"/>
      <c r="AK15" s="32">
        <v>4.0</v>
      </c>
      <c r="AL15" s="32">
        <v>5.0</v>
      </c>
      <c r="AM15" s="32" t="s">
        <v>64</v>
      </c>
      <c r="AN15" s="15">
        <v>75.0</v>
      </c>
      <c r="AO15" s="15">
        <v>6.0</v>
      </c>
      <c r="AP15" s="31"/>
      <c r="AR15" s="7"/>
      <c r="AT15" s="32" t="s">
        <v>79</v>
      </c>
      <c r="AU15" s="33"/>
      <c r="AV15" s="32">
        <v>4.0</v>
      </c>
      <c r="AW15" s="32">
        <v>5.0</v>
      </c>
      <c r="AX15" s="32" t="s">
        <v>69</v>
      </c>
      <c r="AY15" s="15">
        <v>80.0</v>
      </c>
      <c r="AZ15" s="15">
        <v>7.0</v>
      </c>
      <c r="BA15" s="31"/>
      <c r="BC15" s="7"/>
    </row>
    <row r="16">
      <c r="B16" s="32" t="s">
        <v>79</v>
      </c>
      <c r="C16" s="31"/>
      <c r="D16" s="32">
        <v>4.0</v>
      </c>
      <c r="E16" s="32">
        <v>5.0</v>
      </c>
      <c r="F16" s="32" t="s">
        <v>69</v>
      </c>
      <c r="G16" s="32">
        <v>80.0</v>
      </c>
      <c r="H16" s="32">
        <v>6.0</v>
      </c>
      <c r="I16" s="32" t="s">
        <v>99</v>
      </c>
      <c r="K16" s="7"/>
      <c r="M16" s="32" t="s">
        <v>79</v>
      </c>
      <c r="N16" s="33"/>
      <c r="O16" s="32">
        <v>4.0</v>
      </c>
      <c r="P16" s="32">
        <v>5.0</v>
      </c>
      <c r="Q16" s="32" t="s">
        <v>93</v>
      </c>
      <c r="R16" s="32">
        <v>90.0</v>
      </c>
      <c r="S16" s="32">
        <v>8.5</v>
      </c>
      <c r="T16" s="32" t="s">
        <v>101</v>
      </c>
      <c r="V16" s="7"/>
      <c r="X16" s="32" t="s">
        <v>79</v>
      </c>
      <c r="Y16" s="33"/>
      <c r="Z16" s="32">
        <v>4.0</v>
      </c>
      <c r="AA16" s="32">
        <v>5.0</v>
      </c>
      <c r="AB16" s="32" t="s">
        <v>102</v>
      </c>
      <c r="AC16" s="15" t="s">
        <v>103</v>
      </c>
      <c r="AD16" s="15">
        <v>8.0</v>
      </c>
      <c r="AE16" s="15" t="s">
        <v>104</v>
      </c>
      <c r="AG16" s="7"/>
      <c r="AI16" s="32" t="s">
        <v>88</v>
      </c>
      <c r="AJ16" s="33"/>
      <c r="AK16" s="32">
        <v>3.0</v>
      </c>
      <c r="AL16" s="37">
        <v>46303.0</v>
      </c>
      <c r="AM16" s="32" t="s">
        <v>72</v>
      </c>
      <c r="AN16" s="15">
        <v>65.0</v>
      </c>
      <c r="AO16" s="31"/>
      <c r="AP16" s="31"/>
      <c r="AR16" s="7"/>
      <c r="AT16" s="32" t="s">
        <v>88</v>
      </c>
      <c r="AU16" s="33"/>
      <c r="AV16" s="32">
        <v>3.0</v>
      </c>
      <c r="AW16" s="37">
        <v>46303.0</v>
      </c>
      <c r="AX16" s="32" t="s">
        <v>85</v>
      </c>
      <c r="AY16" s="15">
        <v>70.0</v>
      </c>
      <c r="AZ16" s="15">
        <v>8.0</v>
      </c>
      <c r="BA16" s="31"/>
      <c r="BC16" s="7"/>
    </row>
    <row r="17">
      <c r="B17" s="32" t="s">
        <v>88</v>
      </c>
      <c r="C17" s="31"/>
      <c r="D17" s="32">
        <v>3.0</v>
      </c>
      <c r="E17" s="37">
        <v>46303.0</v>
      </c>
      <c r="F17" s="32" t="s">
        <v>85</v>
      </c>
      <c r="G17" s="32">
        <v>77.5</v>
      </c>
      <c r="H17" s="32">
        <v>8.0</v>
      </c>
      <c r="I17" s="33"/>
      <c r="K17" s="7"/>
      <c r="M17" s="32" t="s">
        <v>88</v>
      </c>
      <c r="N17" s="33"/>
      <c r="O17" s="32">
        <v>3.0</v>
      </c>
      <c r="P17" s="37">
        <v>46303.0</v>
      </c>
      <c r="Q17" s="32" t="s">
        <v>93</v>
      </c>
      <c r="R17" s="32">
        <v>77.5</v>
      </c>
      <c r="S17" s="32"/>
      <c r="T17" s="33"/>
      <c r="V17" s="7"/>
      <c r="X17" s="32" t="s">
        <v>88</v>
      </c>
      <c r="Y17" s="33"/>
      <c r="Z17" s="32">
        <v>3.0</v>
      </c>
      <c r="AA17" s="37">
        <v>46303.0</v>
      </c>
      <c r="AB17" s="32" t="s">
        <v>92</v>
      </c>
      <c r="AC17" s="15">
        <v>66.0</v>
      </c>
      <c r="AD17" s="15">
        <v>9.0</v>
      </c>
      <c r="AE17" s="31"/>
      <c r="AG17" s="7"/>
      <c r="AI17" s="32" t="s">
        <v>97</v>
      </c>
      <c r="AJ17" s="33"/>
      <c r="AK17" s="32">
        <v>3.0</v>
      </c>
      <c r="AL17" s="37">
        <v>46240.0</v>
      </c>
      <c r="AM17" s="32" t="s">
        <v>72</v>
      </c>
      <c r="AN17" s="15">
        <v>60.0</v>
      </c>
      <c r="AO17" s="31"/>
      <c r="AP17" s="31"/>
      <c r="AR17" s="7"/>
      <c r="AT17" s="32" t="s">
        <v>97</v>
      </c>
      <c r="AU17" s="33"/>
      <c r="AV17" s="32">
        <v>3.0</v>
      </c>
      <c r="AW17" s="37">
        <v>46240.0</v>
      </c>
      <c r="AX17" s="32" t="s">
        <v>85</v>
      </c>
      <c r="AY17" s="15">
        <v>80.0</v>
      </c>
      <c r="AZ17" s="15">
        <v>8.0</v>
      </c>
      <c r="BA17" s="31"/>
      <c r="BC17" s="7"/>
    </row>
    <row r="18">
      <c r="B18" s="32" t="s">
        <v>97</v>
      </c>
      <c r="C18" s="31"/>
      <c r="D18" s="32">
        <v>3.0</v>
      </c>
      <c r="E18" s="37">
        <v>46240.0</v>
      </c>
      <c r="F18" s="32" t="s">
        <v>85</v>
      </c>
      <c r="G18" s="32">
        <v>60.0</v>
      </c>
      <c r="H18" s="32">
        <v>8.0</v>
      </c>
      <c r="I18" s="33"/>
      <c r="K18" s="7"/>
      <c r="M18" s="32" t="s">
        <v>97</v>
      </c>
      <c r="N18" s="33"/>
      <c r="O18" s="32">
        <v>3.0</v>
      </c>
      <c r="P18" s="37">
        <v>46240.0</v>
      </c>
      <c r="Q18" s="32" t="s">
        <v>93</v>
      </c>
      <c r="R18" s="32">
        <v>80.0</v>
      </c>
      <c r="S18" s="32"/>
      <c r="T18" s="33"/>
      <c r="V18" s="7"/>
      <c r="X18" s="32" t="s">
        <v>97</v>
      </c>
      <c r="Y18" s="33"/>
      <c r="Z18" s="32">
        <v>3.0</v>
      </c>
      <c r="AA18" s="37">
        <v>46240.0</v>
      </c>
      <c r="AB18" s="32" t="s">
        <v>92</v>
      </c>
      <c r="AC18" s="15">
        <v>73.0</v>
      </c>
      <c r="AD18" s="15">
        <v>9.0</v>
      </c>
      <c r="AE18" s="31"/>
      <c r="AG18" s="7"/>
      <c r="AI18" s="32" t="s">
        <v>105</v>
      </c>
      <c r="AJ18" s="33"/>
      <c r="AK18" s="32">
        <v>3.0</v>
      </c>
      <c r="AL18" s="37">
        <v>46303.0</v>
      </c>
      <c r="AM18" s="32" t="s">
        <v>72</v>
      </c>
      <c r="AN18" s="15">
        <v>70.0</v>
      </c>
      <c r="AO18" s="31"/>
      <c r="AP18" s="31"/>
      <c r="AR18" s="7"/>
      <c r="AT18" s="32" t="s">
        <v>105</v>
      </c>
      <c r="AU18" s="33"/>
      <c r="AV18" s="32">
        <v>3.0</v>
      </c>
      <c r="AW18" s="37">
        <v>46303.0</v>
      </c>
      <c r="AX18" s="32" t="s">
        <v>85</v>
      </c>
      <c r="AY18" s="15">
        <v>65.0</v>
      </c>
      <c r="AZ18" s="15">
        <v>8.0</v>
      </c>
      <c r="BA18" s="31"/>
      <c r="BC18" s="7"/>
    </row>
    <row r="19">
      <c r="B19" s="32" t="s">
        <v>105</v>
      </c>
      <c r="C19" s="31"/>
      <c r="D19" s="32">
        <v>3.0</v>
      </c>
      <c r="E19" s="37">
        <v>46303.0</v>
      </c>
      <c r="F19" s="32" t="s">
        <v>85</v>
      </c>
      <c r="G19" s="32">
        <v>60.0</v>
      </c>
      <c r="H19" s="32">
        <v>8.0</v>
      </c>
      <c r="I19" s="33"/>
      <c r="K19" s="7"/>
      <c r="M19" s="32" t="s">
        <v>105</v>
      </c>
      <c r="N19" s="33"/>
      <c r="O19" s="32">
        <v>3.0</v>
      </c>
      <c r="P19" s="37">
        <v>46303.0</v>
      </c>
      <c r="Q19" s="32" t="s">
        <v>93</v>
      </c>
      <c r="R19" s="32">
        <v>70.0</v>
      </c>
      <c r="S19" s="32"/>
      <c r="T19" s="33"/>
      <c r="V19" s="7"/>
      <c r="X19" s="32" t="s">
        <v>105</v>
      </c>
      <c r="Y19" s="33"/>
      <c r="Z19" s="32">
        <v>3.0</v>
      </c>
      <c r="AA19" s="37">
        <v>46303.0</v>
      </c>
      <c r="AB19" s="32" t="s">
        <v>92</v>
      </c>
      <c r="AC19" s="15">
        <v>70.0</v>
      </c>
      <c r="AD19" s="15"/>
      <c r="AE19" s="31"/>
      <c r="AG19" s="7"/>
      <c r="AI19" s="32" t="s">
        <v>22</v>
      </c>
      <c r="AJ19" s="33"/>
      <c r="AK19" s="32">
        <v>3.0</v>
      </c>
      <c r="AL19" s="37">
        <v>46366.0</v>
      </c>
      <c r="AM19" s="32" t="s">
        <v>72</v>
      </c>
      <c r="AN19" s="15">
        <v>40.0</v>
      </c>
      <c r="AO19" s="15">
        <v>7.0</v>
      </c>
      <c r="AP19" s="31"/>
      <c r="AR19" s="7"/>
      <c r="AT19" s="32" t="s">
        <v>22</v>
      </c>
      <c r="AU19" s="33"/>
      <c r="AV19" s="32">
        <v>3.0</v>
      </c>
      <c r="AW19" s="37">
        <v>46366.0</v>
      </c>
      <c r="AX19" s="32" t="s">
        <v>85</v>
      </c>
      <c r="AY19" s="15">
        <v>35.0</v>
      </c>
      <c r="AZ19" s="15">
        <v>8.0</v>
      </c>
      <c r="BA19" s="31"/>
      <c r="BC19" s="7"/>
    </row>
    <row r="20">
      <c r="B20" s="32" t="s">
        <v>22</v>
      </c>
      <c r="C20" s="31"/>
      <c r="D20" s="32">
        <v>3.0</v>
      </c>
      <c r="E20" s="37">
        <v>46366.0</v>
      </c>
      <c r="F20" s="32" t="s">
        <v>85</v>
      </c>
      <c r="G20" s="32">
        <v>35.0</v>
      </c>
      <c r="H20" s="32">
        <v>8.0</v>
      </c>
      <c r="I20" s="33"/>
      <c r="K20" s="7"/>
      <c r="M20" s="32" t="s">
        <v>22</v>
      </c>
      <c r="N20" s="33"/>
      <c r="O20" s="32">
        <v>3.0</v>
      </c>
      <c r="P20" s="37">
        <v>46366.0</v>
      </c>
      <c r="Q20" s="32" t="s">
        <v>93</v>
      </c>
      <c r="R20" s="32">
        <v>35.0</v>
      </c>
      <c r="S20" s="33"/>
      <c r="T20" s="33"/>
      <c r="V20" s="7"/>
      <c r="X20" s="32" t="s">
        <v>22</v>
      </c>
      <c r="Y20" s="33"/>
      <c r="Z20" s="32">
        <v>3.0</v>
      </c>
      <c r="AA20" s="37">
        <v>46366.0</v>
      </c>
      <c r="AB20" s="32" t="s">
        <v>92</v>
      </c>
      <c r="AC20" s="15"/>
      <c r="AD20" s="15"/>
      <c r="AE20" s="31"/>
      <c r="AG20" s="7"/>
      <c r="AN20" s="31"/>
      <c r="AO20" s="31"/>
      <c r="AP20" s="31"/>
      <c r="AR20" s="7"/>
      <c r="AY20" s="31"/>
      <c r="AZ20" s="31"/>
      <c r="BA20" s="31"/>
      <c r="BC20" s="7"/>
    </row>
    <row r="21">
      <c r="B21" s="15"/>
      <c r="C21" s="31"/>
      <c r="D21" s="33"/>
      <c r="E21" s="33"/>
      <c r="F21" s="33"/>
      <c r="G21" s="32"/>
      <c r="H21" s="33"/>
      <c r="I21" s="33"/>
      <c r="K21" s="7"/>
      <c r="M21" s="15"/>
      <c r="N21" s="31"/>
      <c r="O21" s="15"/>
      <c r="P21" s="15"/>
      <c r="Q21" s="15"/>
      <c r="R21" s="15"/>
      <c r="S21" s="33"/>
      <c r="T21" s="31"/>
      <c r="V21" s="7"/>
      <c r="X21" s="31"/>
      <c r="Y21" s="31"/>
      <c r="Z21" s="31"/>
      <c r="AA21" s="31"/>
      <c r="AB21" s="31"/>
      <c r="AC21" s="31"/>
      <c r="AD21" s="31"/>
      <c r="AE21" s="31"/>
      <c r="AG21" s="7"/>
      <c r="AI21" s="31"/>
      <c r="AJ21" s="31"/>
      <c r="AK21" s="31"/>
      <c r="AL21" s="31"/>
      <c r="AM21" s="31"/>
      <c r="AN21" s="31"/>
      <c r="AO21" s="31"/>
      <c r="AP21" s="31"/>
      <c r="AR21" s="7"/>
      <c r="AT21" s="31"/>
      <c r="AU21" s="31"/>
      <c r="AV21" s="31"/>
      <c r="AW21" s="31"/>
      <c r="AX21" s="31"/>
      <c r="AY21" s="31"/>
      <c r="AZ21" s="31"/>
      <c r="BA21" s="31"/>
      <c r="BC21" s="7"/>
    </row>
    <row r="22">
      <c r="B22" s="31"/>
      <c r="C22" s="31"/>
      <c r="D22" s="31"/>
      <c r="E22" s="31"/>
      <c r="F22" s="31"/>
      <c r="G22" s="31"/>
      <c r="H22" s="31"/>
      <c r="I22" s="31"/>
      <c r="K22" s="7"/>
      <c r="M22" s="31"/>
      <c r="N22" s="31"/>
      <c r="O22" s="31"/>
      <c r="P22" s="31"/>
      <c r="Q22" s="31"/>
      <c r="R22" s="31"/>
      <c r="S22" s="31"/>
      <c r="T22" s="31"/>
      <c r="V22" s="7"/>
      <c r="X22" s="31"/>
      <c r="Y22" s="31"/>
      <c r="Z22" s="31"/>
      <c r="AA22" s="31"/>
      <c r="AB22" s="31"/>
      <c r="AC22" s="31"/>
      <c r="AD22" s="31"/>
      <c r="AE22" s="31"/>
      <c r="AG22" s="7"/>
      <c r="AI22" s="31"/>
      <c r="AJ22" s="31"/>
      <c r="AK22" s="31"/>
      <c r="AL22" s="31"/>
      <c r="AM22" s="31"/>
      <c r="AN22" s="31"/>
      <c r="AO22" s="31"/>
      <c r="AP22" s="31"/>
      <c r="AR22" s="7"/>
      <c r="AT22" s="31"/>
      <c r="AU22" s="31"/>
      <c r="AV22" s="31"/>
      <c r="AW22" s="31"/>
      <c r="AX22" s="31"/>
      <c r="AY22" s="31"/>
      <c r="AZ22" s="31"/>
      <c r="BA22" s="31"/>
      <c r="BC22" s="7"/>
    </row>
    <row r="23">
      <c r="G23" s="14" t="s">
        <v>108</v>
      </c>
      <c r="H23" s="14" t="s">
        <v>109</v>
      </c>
      <c r="I23" s="14" t="s">
        <v>110</v>
      </c>
      <c r="K23" s="7"/>
      <c r="R23" s="14" t="s">
        <v>108</v>
      </c>
      <c r="S23" s="14" t="s">
        <v>109</v>
      </c>
      <c r="T23" s="14" t="s">
        <v>110</v>
      </c>
      <c r="V23" s="7"/>
      <c r="AC23" s="14" t="s">
        <v>108</v>
      </c>
      <c r="AD23" s="14" t="s">
        <v>109</v>
      </c>
      <c r="AE23" s="14" t="s">
        <v>110</v>
      </c>
      <c r="AG23" s="7"/>
      <c r="AN23" s="14" t="s">
        <v>108</v>
      </c>
      <c r="AO23" s="14" t="s">
        <v>109</v>
      </c>
      <c r="AP23" s="14" t="s">
        <v>110</v>
      </c>
      <c r="AR23" s="7"/>
      <c r="AY23" s="14" t="s">
        <v>108</v>
      </c>
      <c r="AZ23" s="14" t="s">
        <v>109</v>
      </c>
      <c r="BA23" s="14" t="s">
        <v>110</v>
      </c>
      <c r="BC23" s="7"/>
    </row>
    <row r="24">
      <c r="G24" s="15" t="s">
        <v>117</v>
      </c>
      <c r="H24" s="31"/>
      <c r="I24" s="31"/>
      <c r="K24" s="7"/>
      <c r="R24" s="15" t="s">
        <v>117</v>
      </c>
      <c r="S24" s="15" t="s">
        <v>117</v>
      </c>
      <c r="T24" s="15"/>
      <c r="V24" s="7"/>
      <c r="AC24" s="15" t="s">
        <v>117</v>
      </c>
      <c r="AD24" s="31"/>
      <c r="AE24" s="31"/>
      <c r="AG24" s="7"/>
      <c r="AN24" s="15" t="s">
        <v>111</v>
      </c>
      <c r="AO24" s="15" t="s">
        <v>118</v>
      </c>
      <c r="AP24" s="15">
        <v>30.0</v>
      </c>
      <c r="AR24" s="7"/>
      <c r="AY24" s="15" t="s">
        <v>111</v>
      </c>
      <c r="AZ24" s="15" t="s">
        <v>118</v>
      </c>
      <c r="BA24" s="15">
        <v>20.0</v>
      </c>
      <c r="BC24" s="7"/>
    </row>
    <row r="25">
      <c r="K25" s="7"/>
      <c r="V25" s="7"/>
      <c r="AG25" s="7"/>
      <c r="AR25" s="7"/>
      <c r="BC25" s="7"/>
    </row>
    <row r="26">
      <c r="K26" s="7"/>
      <c r="V26" s="7"/>
      <c r="AG26" s="7"/>
      <c r="AR26" s="7"/>
      <c r="BC26" s="7"/>
    </row>
    <row r="27">
      <c r="B27" s="15" t="s">
        <v>115</v>
      </c>
      <c r="C27" s="15" t="s">
        <v>116</v>
      </c>
      <c r="D27" s="14" t="s">
        <v>44</v>
      </c>
      <c r="E27" s="14" t="s">
        <v>45</v>
      </c>
      <c r="F27" s="14" t="s">
        <v>46</v>
      </c>
      <c r="G27" s="14" t="s">
        <v>47</v>
      </c>
      <c r="H27" s="14" t="s">
        <v>49</v>
      </c>
      <c r="I27" s="14" t="s">
        <v>50</v>
      </c>
      <c r="K27" s="7"/>
      <c r="M27" s="15" t="s">
        <v>115</v>
      </c>
      <c r="N27" s="15" t="s">
        <v>116</v>
      </c>
      <c r="O27" s="14" t="s">
        <v>44</v>
      </c>
      <c r="P27" s="14" t="s">
        <v>45</v>
      </c>
      <c r="Q27" s="14" t="s">
        <v>46</v>
      </c>
      <c r="R27" s="14" t="s">
        <v>47</v>
      </c>
      <c r="S27" s="14" t="s">
        <v>49</v>
      </c>
      <c r="T27" s="14" t="s">
        <v>50</v>
      </c>
      <c r="V27" s="7"/>
      <c r="X27" s="15" t="s">
        <v>115</v>
      </c>
      <c r="Y27" s="15" t="s">
        <v>116</v>
      </c>
      <c r="Z27" s="14" t="s">
        <v>44</v>
      </c>
      <c r="AA27" s="14" t="s">
        <v>45</v>
      </c>
      <c r="AB27" s="14" t="s">
        <v>46</v>
      </c>
      <c r="AC27" s="14" t="s">
        <v>47</v>
      </c>
      <c r="AD27" s="14" t="s">
        <v>49</v>
      </c>
      <c r="AE27" s="14" t="s">
        <v>50</v>
      </c>
      <c r="AG27" s="7"/>
      <c r="AI27" s="15" t="s">
        <v>115</v>
      </c>
      <c r="AJ27" s="15" t="s">
        <v>116</v>
      </c>
      <c r="AK27" s="14" t="s">
        <v>44</v>
      </c>
      <c r="AL27" s="14" t="s">
        <v>45</v>
      </c>
      <c r="AM27" s="14" t="s">
        <v>46</v>
      </c>
      <c r="AN27" s="14" t="s">
        <v>47</v>
      </c>
      <c r="AO27" s="14" t="s">
        <v>49</v>
      </c>
      <c r="AP27" s="14" t="s">
        <v>50</v>
      </c>
      <c r="AR27" s="7"/>
      <c r="AT27" s="15" t="s">
        <v>115</v>
      </c>
      <c r="AU27" s="15" t="s">
        <v>116</v>
      </c>
      <c r="AV27" s="14" t="s">
        <v>44</v>
      </c>
      <c r="AW27" s="14" t="s">
        <v>45</v>
      </c>
      <c r="AX27" s="14" t="s">
        <v>46</v>
      </c>
      <c r="AY27" s="14" t="s">
        <v>47</v>
      </c>
      <c r="AZ27" s="14" t="s">
        <v>49</v>
      </c>
      <c r="BA27" s="14" t="s">
        <v>50</v>
      </c>
      <c r="BC27" s="7"/>
    </row>
    <row r="28">
      <c r="B28" s="32" t="s">
        <v>119</v>
      </c>
      <c r="C28" s="33"/>
      <c r="D28" s="32">
        <v>1.0</v>
      </c>
      <c r="E28" s="32">
        <v>2.0</v>
      </c>
      <c r="F28" s="32" t="s">
        <v>69</v>
      </c>
      <c r="G28" s="32">
        <v>140.0</v>
      </c>
      <c r="H28" s="32">
        <v>7.0</v>
      </c>
      <c r="I28" s="33"/>
      <c r="K28" s="7"/>
      <c r="M28" s="32" t="s">
        <v>119</v>
      </c>
      <c r="N28" s="33"/>
      <c r="O28" s="32">
        <v>1.0</v>
      </c>
      <c r="P28" s="32">
        <v>2.0</v>
      </c>
      <c r="Q28" s="32" t="s">
        <v>93</v>
      </c>
      <c r="R28" s="15">
        <v>147.5</v>
      </c>
      <c r="S28" s="32">
        <v>8.5</v>
      </c>
      <c r="T28" s="31"/>
      <c r="V28" s="7"/>
      <c r="X28" s="32" t="s">
        <v>119</v>
      </c>
      <c r="Y28" s="33"/>
      <c r="Z28" s="32">
        <v>1.0</v>
      </c>
      <c r="AA28" s="32">
        <v>1.0</v>
      </c>
      <c r="AB28" s="32" t="s">
        <v>130</v>
      </c>
      <c r="AC28" s="32">
        <v>160.0</v>
      </c>
      <c r="AD28" s="32"/>
      <c r="AE28" s="31"/>
      <c r="AG28" s="7"/>
      <c r="AI28" s="32" t="s">
        <v>119</v>
      </c>
      <c r="AJ28" s="33"/>
      <c r="AK28" s="32">
        <v>1.0</v>
      </c>
      <c r="AL28" s="32">
        <v>4.0</v>
      </c>
      <c r="AM28" s="32" t="s">
        <v>64</v>
      </c>
      <c r="AN28" s="15">
        <v>127.5</v>
      </c>
      <c r="AO28" s="31"/>
      <c r="AP28" s="31"/>
      <c r="AR28" s="7"/>
      <c r="AT28" s="32" t="s">
        <v>119</v>
      </c>
      <c r="AU28" s="33"/>
      <c r="AV28" s="32">
        <v>1.0</v>
      </c>
      <c r="AW28" s="32">
        <v>4.0</v>
      </c>
      <c r="AX28" s="32" t="s">
        <v>69</v>
      </c>
      <c r="AY28" s="15">
        <v>130.0</v>
      </c>
      <c r="AZ28" s="15">
        <v>7.0</v>
      </c>
      <c r="BA28" s="31"/>
      <c r="BC28" s="7"/>
    </row>
    <row r="29">
      <c r="B29" s="32" t="s">
        <v>119</v>
      </c>
      <c r="C29" s="33"/>
      <c r="D29" s="32">
        <v>3.0</v>
      </c>
      <c r="E29" s="32">
        <v>4.0</v>
      </c>
      <c r="F29" s="32" t="s">
        <v>69</v>
      </c>
      <c r="G29" s="32">
        <v>122.5</v>
      </c>
      <c r="H29" s="32" t="s">
        <v>133</v>
      </c>
      <c r="I29" s="33"/>
      <c r="K29" s="7"/>
      <c r="M29" s="32" t="s">
        <v>119</v>
      </c>
      <c r="N29" s="33"/>
      <c r="O29" s="32">
        <v>3.0</v>
      </c>
      <c r="P29" s="32">
        <v>4.0</v>
      </c>
      <c r="Q29" s="32" t="s">
        <v>85</v>
      </c>
      <c r="R29" s="15">
        <v>130.0</v>
      </c>
      <c r="S29" s="32">
        <v>8.5</v>
      </c>
      <c r="T29" s="15"/>
      <c r="V29" s="7"/>
      <c r="X29" s="32" t="s">
        <v>119</v>
      </c>
      <c r="Y29" s="33"/>
      <c r="Z29" s="32">
        <v>2.0</v>
      </c>
      <c r="AA29" s="32">
        <v>4.0</v>
      </c>
      <c r="AB29" s="32" t="s">
        <v>93</v>
      </c>
      <c r="AC29" s="32">
        <v>120.0</v>
      </c>
      <c r="AD29" s="37"/>
      <c r="AE29" s="31"/>
      <c r="AG29" s="7"/>
      <c r="AI29" s="32" t="s">
        <v>119</v>
      </c>
      <c r="AJ29" s="33"/>
      <c r="AK29" s="32">
        <v>2.0</v>
      </c>
      <c r="AL29" s="32">
        <v>6.0</v>
      </c>
      <c r="AM29" s="32" t="s">
        <v>64</v>
      </c>
      <c r="AN29" s="15">
        <v>117.5</v>
      </c>
      <c r="AO29" s="31"/>
      <c r="AP29" s="31"/>
      <c r="AR29" s="7"/>
      <c r="AT29" s="32" t="s">
        <v>119</v>
      </c>
      <c r="AU29" s="33"/>
      <c r="AV29" s="32">
        <v>2.0</v>
      </c>
      <c r="AW29" s="32">
        <v>6.0</v>
      </c>
      <c r="AX29" s="32" t="s">
        <v>64</v>
      </c>
      <c r="AY29" s="15">
        <v>117.5</v>
      </c>
      <c r="AZ29" s="15">
        <v>6.5</v>
      </c>
      <c r="BA29" s="31"/>
      <c r="BC29" s="7"/>
    </row>
    <row r="30">
      <c r="B30" s="32" t="s">
        <v>124</v>
      </c>
      <c r="C30" s="33"/>
      <c r="D30" s="32">
        <v>1.0</v>
      </c>
      <c r="E30" s="32">
        <v>2.0</v>
      </c>
      <c r="F30" s="32" t="s">
        <v>69</v>
      </c>
      <c r="G30" s="32">
        <v>90.0</v>
      </c>
      <c r="H30" s="32"/>
      <c r="I30" s="32"/>
      <c r="K30" s="7"/>
      <c r="M30" s="32" t="s">
        <v>124</v>
      </c>
      <c r="N30" s="33"/>
      <c r="O30" s="32">
        <v>1.0</v>
      </c>
      <c r="P30" s="32">
        <v>2.0</v>
      </c>
      <c r="Q30" s="32" t="s">
        <v>93</v>
      </c>
      <c r="R30" s="15">
        <v>100.0</v>
      </c>
      <c r="S30" s="32">
        <v>8.5</v>
      </c>
      <c r="T30" s="31"/>
      <c r="V30" s="7"/>
      <c r="X30" s="32" t="s">
        <v>124</v>
      </c>
      <c r="Y30" s="33"/>
      <c r="Z30" s="32">
        <v>1.0</v>
      </c>
      <c r="AA30" s="32">
        <v>1.0</v>
      </c>
      <c r="AB30" s="32" t="s">
        <v>130</v>
      </c>
      <c r="AC30" s="32">
        <v>100.0</v>
      </c>
      <c r="AD30" s="32"/>
      <c r="AE30" s="15" t="s">
        <v>140</v>
      </c>
      <c r="AG30" s="7"/>
      <c r="AI30" s="32" t="s">
        <v>124</v>
      </c>
      <c r="AJ30" s="33"/>
      <c r="AK30" s="32">
        <v>1.0</v>
      </c>
      <c r="AL30" s="32">
        <v>4.0</v>
      </c>
      <c r="AM30" s="32" t="s">
        <v>64</v>
      </c>
      <c r="AN30" s="15">
        <v>82.5</v>
      </c>
      <c r="AO30" s="31"/>
      <c r="AP30" s="31"/>
      <c r="AR30" s="7"/>
      <c r="AT30" s="32" t="s">
        <v>124</v>
      </c>
      <c r="AU30" s="33"/>
      <c r="AV30" s="32">
        <v>1.0</v>
      </c>
      <c r="AW30" s="32">
        <v>4.0</v>
      </c>
      <c r="AX30" s="32" t="s">
        <v>64</v>
      </c>
      <c r="AY30" s="15">
        <v>85.0</v>
      </c>
      <c r="AZ30" s="15">
        <v>5.0</v>
      </c>
      <c r="BA30" s="31"/>
      <c r="BC30" s="7"/>
    </row>
    <row r="31">
      <c r="B31" s="32" t="s">
        <v>124</v>
      </c>
      <c r="C31" s="33"/>
      <c r="D31" s="32">
        <v>3.0</v>
      </c>
      <c r="E31" s="32">
        <v>4.0</v>
      </c>
      <c r="F31" s="32" t="s">
        <v>69</v>
      </c>
      <c r="G31" s="32">
        <v>87.5</v>
      </c>
      <c r="H31" s="32"/>
      <c r="I31" s="33"/>
      <c r="K31" s="7"/>
      <c r="M31" s="32" t="s">
        <v>124</v>
      </c>
      <c r="N31" s="33"/>
      <c r="O31" s="32">
        <v>3.0</v>
      </c>
      <c r="P31" s="32">
        <v>4.0</v>
      </c>
      <c r="Q31" s="32" t="s">
        <v>85</v>
      </c>
      <c r="R31" s="15">
        <v>80.0</v>
      </c>
      <c r="S31" s="32">
        <v>8.0</v>
      </c>
      <c r="T31" s="31"/>
      <c r="V31" s="7"/>
      <c r="X31" s="32" t="s">
        <v>124</v>
      </c>
      <c r="Y31" s="33"/>
      <c r="Z31" s="32">
        <v>3.0</v>
      </c>
      <c r="AA31" s="32">
        <v>4.0</v>
      </c>
      <c r="AB31" s="32" t="s">
        <v>93</v>
      </c>
      <c r="AC31" s="32">
        <v>90.0</v>
      </c>
      <c r="AD31" s="37"/>
      <c r="AE31" s="31"/>
      <c r="AG31" s="7"/>
      <c r="AI31" s="32" t="s">
        <v>124</v>
      </c>
      <c r="AJ31" s="33"/>
      <c r="AK31" s="32">
        <v>2.0</v>
      </c>
      <c r="AL31" s="32">
        <v>8.0</v>
      </c>
      <c r="AM31" s="32" t="s">
        <v>64</v>
      </c>
      <c r="AN31" s="15">
        <v>70.0</v>
      </c>
      <c r="AO31" s="31"/>
      <c r="AP31" s="31"/>
      <c r="AR31" s="7"/>
      <c r="AT31" s="32" t="s">
        <v>124</v>
      </c>
      <c r="AU31" s="33"/>
      <c r="AV31" s="32">
        <v>2.0</v>
      </c>
      <c r="AW31" s="32">
        <v>8.0</v>
      </c>
      <c r="AX31" s="32" t="s">
        <v>64</v>
      </c>
      <c r="AY31" s="15">
        <v>80.0</v>
      </c>
      <c r="AZ31" s="15">
        <v>6.0</v>
      </c>
      <c r="BA31" s="31"/>
      <c r="BC31" s="7"/>
    </row>
    <row r="32">
      <c r="B32" s="32" t="s">
        <v>132</v>
      </c>
      <c r="C32" s="33"/>
      <c r="D32" s="32">
        <v>3.0</v>
      </c>
      <c r="E32" s="37">
        <v>46366.0</v>
      </c>
      <c r="F32" s="32" t="s">
        <v>85</v>
      </c>
      <c r="G32" s="32">
        <v>60.0</v>
      </c>
      <c r="H32" s="32"/>
      <c r="I32" s="33"/>
      <c r="K32" s="7"/>
      <c r="M32" s="32" t="s">
        <v>132</v>
      </c>
      <c r="N32" s="33"/>
      <c r="O32" s="32">
        <v>3.0</v>
      </c>
      <c r="P32" s="37">
        <v>46366.0</v>
      </c>
      <c r="Q32" s="32" t="s">
        <v>93</v>
      </c>
      <c r="R32" s="15">
        <v>80.0</v>
      </c>
      <c r="S32" s="33"/>
      <c r="T32" s="31"/>
      <c r="V32" s="7"/>
      <c r="X32" s="32" t="s">
        <v>132</v>
      </c>
      <c r="Y32" s="33"/>
      <c r="Z32" s="32">
        <v>3.0</v>
      </c>
      <c r="AA32" s="37">
        <v>46366.0</v>
      </c>
      <c r="AB32" s="32" t="s">
        <v>92</v>
      </c>
      <c r="AC32" s="32">
        <v>80.0</v>
      </c>
      <c r="AD32" s="32"/>
      <c r="AE32" s="31"/>
      <c r="AG32" s="7"/>
      <c r="AI32" s="32" t="s">
        <v>132</v>
      </c>
      <c r="AJ32" s="33"/>
      <c r="AK32" s="32">
        <v>3.0</v>
      </c>
      <c r="AL32" s="37">
        <v>46366.0</v>
      </c>
      <c r="AM32" s="32" t="s">
        <v>72</v>
      </c>
      <c r="AN32" s="15">
        <v>77.5</v>
      </c>
      <c r="AO32" s="31"/>
      <c r="AP32" s="31"/>
      <c r="AR32" s="7"/>
      <c r="AT32" s="32" t="s">
        <v>132</v>
      </c>
      <c r="AU32" s="33"/>
      <c r="AV32" s="32">
        <v>3.0</v>
      </c>
      <c r="AW32" s="37">
        <v>46366.0</v>
      </c>
      <c r="AX32" s="32" t="s">
        <v>85</v>
      </c>
      <c r="AY32" s="15">
        <v>70.0</v>
      </c>
      <c r="AZ32" s="31"/>
      <c r="BA32" s="31"/>
      <c r="BC32" s="7"/>
    </row>
    <row r="33">
      <c r="B33" s="32" t="s">
        <v>138</v>
      </c>
      <c r="C33" s="33"/>
      <c r="D33" s="32">
        <v>3.0</v>
      </c>
      <c r="E33" s="32">
        <v>10.0</v>
      </c>
      <c r="F33" s="32" t="s">
        <v>85</v>
      </c>
      <c r="G33" s="32">
        <v>28.0</v>
      </c>
      <c r="H33" s="33"/>
      <c r="I33" s="32"/>
      <c r="K33" s="7"/>
      <c r="M33" s="32" t="s">
        <v>138</v>
      </c>
      <c r="N33" s="33"/>
      <c r="O33" s="32">
        <v>3.0</v>
      </c>
      <c r="P33" s="32">
        <v>10.0</v>
      </c>
      <c r="Q33" s="32" t="s">
        <v>93</v>
      </c>
      <c r="R33" s="15">
        <v>28.0</v>
      </c>
      <c r="S33" s="32"/>
      <c r="T33" s="15"/>
      <c r="V33" s="7"/>
      <c r="X33" s="32" t="s">
        <v>138</v>
      </c>
      <c r="Y33" s="33"/>
      <c r="Z33" s="32">
        <v>3.0</v>
      </c>
      <c r="AA33" s="32">
        <v>10.0</v>
      </c>
      <c r="AB33" s="32" t="s">
        <v>92</v>
      </c>
      <c r="AC33" s="32">
        <v>28.0</v>
      </c>
      <c r="AD33" s="33"/>
      <c r="AE33" s="31"/>
      <c r="AG33" s="7"/>
      <c r="AI33" s="32" t="s">
        <v>138</v>
      </c>
      <c r="AJ33" s="33"/>
      <c r="AK33" s="32">
        <v>3.0</v>
      </c>
      <c r="AL33" s="32">
        <v>10.0</v>
      </c>
      <c r="AM33" s="32" t="s">
        <v>72</v>
      </c>
      <c r="AN33" s="15">
        <v>28.0</v>
      </c>
      <c r="AO33" s="31"/>
      <c r="AP33" s="31"/>
      <c r="AR33" s="7"/>
      <c r="AT33" s="32" t="s">
        <v>138</v>
      </c>
      <c r="AU33" s="33"/>
      <c r="AV33" s="32">
        <v>3.0</v>
      </c>
      <c r="AW33" s="32">
        <v>10.0</v>
      </c>
      <c r="AX33" s="32" t="s">
        <v>85</v>
      </c>
      <c r="AY33" s="15">
        <v>28.0</v>
      </c>
      <c r="AZ33" s="15">
        <v>9.0</v>
      </c>
      <c r="BA33" s="31"/>
      <c r="BC33" s="7"/>
    </row>
    <row r="34">
      <c r="B34" s="32" t="s">
        <v>153</v>
      </c>
      <c r="C34" s="33"/>
      <c r="D34" s="32">
        <v>3.0</v>
      </c>
      <c r="E34" s="37">
        <v>46366.0</v>
      </c>
      <c r="F34" s="32" t="s">
        <v>85</v>
      </c>
      <c r="G34" s="32">
        <v>47.5</v>
      </c>
      <c r="H34" s="33"/>
      <c r="I34" s="33"/>
      <c r="K34" s="7"/>
      <c r="M34" s="32" t="s">
        <v>153</v>
      </c>
      <c r="N34" s="33"/>
      <c r="O34" s="32">
        <v>3.0</v>
      </c>
      <c r="P34" s="37">
        <v>46366.0</v>
      </c>
      <c r="Q34" s="32" t="s">
        <v>93</v>
      </c>
      <c r="R34" s="15">
        <v>65.0</v>
      </c>
      <c r="S34" s="32"/>
      <c r="T34" s="31"/>
      <c r="V34" s="7"/>
      <c r="X34" s="32" t="s">
        <v>153</v>
      </c>
      <c r="Y34" s="33"/>
      <c r="Z34" s="32">
        <v>3.0</v>
      </c>
      <c r="AA34" s="37">
        <v>46366.0</v>
      </c>
      <c r="AB34" s="32" t="s">
        <v>92</v>
      </c>
      <c r="AC34" s="32">
        <v>70.0</v>
      </c>
      <c r="AD34" s="33"/>
      <c r="AE34" s="31"/>
      <c r="AG34" s="7"/>
      <c r="AI34" s="32" t="s">
        <v>153</v>
      </c>
      <c r="AJ34" s="33"/>
      <c r="AK34" s="32">
        <v>3.0</v>
      </c>
      <c r="AL34" s="37">
        <v>46366.0</v>
      </c>
      <c r="AM34" s="32" t="s">
        <v>72</v>
      </c>
      <c r="AN34" s="15">
        <v>60.0</v>
      </c>
      <c r="AO34" s="31"/>
      <c r="AP34" s="31"/>
      <c r="AR34" s="7"/>
      <c r="AT34" s="32" t="s">
        <v>153</v>
      </c>
      <c r="AU34" s="33"/>
      <c r="AV34" s="32">
        <v>3.0</v>
      </c>
      <c r="AW34" s="37">
        <v>46366.0</v>
      </c>
      <c r="AX34" s="32" t="s">
        <v>85</v>
      </c>
      <c r="AY34" s="15">
        <v>65.0</v>
      </c>
      <c r="AZ34" s="31"/>
      <c r="BA34" s="31"/>
      <c r="BC34" s="7"/>
    </row>
    <row r="35">
      <c r="B35" s="32" t="s">
        <v>144</v>
      </c>
      <c r="C35" s="33"/>
      <c r="D35" s="32">
        <v>3.0</v>
      </c>
      <c r="E35" s="37">
        <v>46366.0</v>
      </c>
      <c r="F35" s="32" t="s">
        <v>85</v>
      </c>
      <c r="G35" s="32"/>
      <c r="H35" s="33"/>
      <c r="I35" s="33"/>
      <c r="K35" s="7"/>
      <c r="M35" s="32" t="s">
        <v>144</v>
      </c>
      <c r="N35" s="33"/>
      <c r="O35" s="32">
        <v>3.0</v>
      </c>
      <c r="P35" s="37">
        <v>46366.0</v>
      </c>
      <c r="Q35" s="32" t="s">
        <v>93</v>
      </c>
      <c r="R35" s="31"/>
      <c r="S35" s="31"/>
      <c r="T35" s="31"/>
      <c r="V35" s="7"/>
      <c r="X35" s="32" t="s">
        <v>144</v>
      </c>
      <c r="Y35" s="33"/>
      <c r="Z35" s="32">
        <v>3.0</v>
      </c>
      <c r="AA35" s="37">
        <v>46366.0</v>
      </c>
      <c r="AB35" s="32" t="s">
        <v>92</v>
      </c>
      <c r="AC35" s="32">
        <v>15.0</v>
      </c>
      <c r="AD35" s="33"/>
      <c r="AE35" s="31"/>
      <c r="AG35" s="7"/>
      <c r="AI35" s="32" t="s">
        <v>144</v>
      </c>
      <c r="AJ35" s="33"/>
      <c r="AK35" s="32">
        <v>3.0</v>
      </c>
      <c r="AL35" s="37">
        <v>46366.0</v>
      </c>
      <c r="AM35" s="32" t="s">
        <v>72</v>
      </c>
      <c r="AN35" s="15">
        <v>16.0</v>
      </c>
      <c r="AO35" s="31"/>
      <c r="AP35" s="31"/>
      <c r="AR35" s="7"/>
      <c r="AT35" s="32" t="s">
        <v>144</v>
      </c>
      <c r="AU35" s="33"/>
      <c r="AV35" s="32">
        <v>3.0</v>
      </c>
      <c r="AW35" s="37">
        <v>46366.0</v>
      </c>
      <c r="AX35" s="32" t="s">
        <v>85</v>
      </c>
      <c r="AY35" s="15">
        <v>14.0</v>
      </c>
      <c r="AZ35" s="31"/>
      <c r="BA35" s="31"/>
      <c r="BC35" s="7"/>
    </row>
    <row r="36">
      <c r="B36" s="33"/>
      <c r="C36" s="33"/>
      <c r="D36" s="33"/>
      <c r="E36" s="33"/>
      <c r="F36" s="33"/>
      <c r="G36" s="33"/>
      <c r="H36" s="33"/>
      <c r="I36" s="33"/>
      <c r="K36" s="7"/>
      <c r="M36" s="31"/>
      <c r="N36" s="31"/>
      <c r="O36" s="31"/>
      <c r="P36" s="31"/>
      <c r="Q36" s="31"/>
      <c r="R36" s="31"/>
      <c r="S36" s="31"/>
      <c r="T36" s="31"/>
      <c r="V36" s="7"/>
      <c r="X36" s="31"/>
      <c r="Y36" s="31"/>
      <c r="Z36" s="31"/>
      <c r="AA36" s="31"/>
      <c r="AB36" s="31"/>
      <c r="AC36" s="31"/>
      <c r="AD36" s="31"/>
      <c r="AE36" s="31"/>
      <c r="AG36" s="7"/>
      <c r="AI36" s="31"/>
      <c r="AJ36" s="31"/>
      <c r="AK36" s="31"/>
      <c r="AL36" s="31"/>
      <c r="AM36" s="31"/>
      <c r="AN36" s="31"/>
      <c r="AO36" s="31"/>
      <c r="AP36" s="31"/>
      <c r="AR36" s="7"/>
      <c r="AT36" s="31"/>
      <c r="AU36" s="31"/>
      <c r="AV36" s="31"/>
      <c r="AW36" s="31"/>
      <c r="AX36" s="31"/>
      <c r="AY36" s="31"/>
      <c r="AZ36" s="31"/>
      <c r="BA36" s="31"/>
      <c r="BC36" s="7"/>
    </row>
    <row r="37">
      <c r="G37" s="14" t="s">
        <v>108</v>
      </c>
      <c r="H37" s="14" t="s">
        <v>109</v>
      </c>
      <c r="I37" s="14" t="s">
        <v>110</v>
      </c>
      <c r="K37" s="7"/>
      <c r="R37" s="14" t="s">
        <v>108</v>
      </c>
      <c r="S37" s="14" t="s">
        <v>109</v>
      </c>
      <c r="T37" s="14" t="s">
        <v>110</v>
      </c>
      <c r="V37" s="7"/>
      <c r="AC37" s="14" t="s">
        <v>108</v>
      </c>
      <c r="AD37" s="14" t="s">
        <v>109</v>
      </c>
      <c r="AE37" s="14" t="s">
        <v>110</v>
      </c>
      <c r="AG37" s="7"/>
      <c r="AN37" s="14" t="s">
        <v>108</v>
      </c>
      <c r="AO37" s="14" t="s">
        <v>109</v>
      </c>
      <c r="AP37" s="14" t="s">
        <v>110</v>
      </c>
      <c r="AR37" s="7"/>
      <c r="AY37" s="14" t="s">
        <v>108</v>
      </c>
      <c r="AZ37" s="14" t="s">
        <v>109</v>
      </c>
      <c r="BA37" s="14" t="s">
        <v>110</v>
      </c>
      <c r="BC37" s="7"/>
    </row>
    <row r="38">
      <c r="G38" s="15" t="s">
        <v>117</v>
      </c>
      <c r="H38" s="15" t="s">
        <v>117</v>
      </c>
      <c r="I38" s="31"/>
      <c r="K38" s="7"/>
      <c r="R38" s="15" t="s">
        <v>117</v>
      </c>
      <c r="S38" s="31"/>
      <c r="T38" s="31"/>
      <c r="V38" s="7"/>
      <c r="AC38" s="15" t="s">
        <v>117</v>
      </c>
      <c r="AD38" s="31"/>
      <c r="AE38" s="31"/>
      <c r="AG38" s="7"/>
      <c r="AN38" s="15" t="s">
        <v>117</v>
      </c>
      <c r="AO38" s="31"/>
      <c r="AP38" s="31"/>
      <c r="AR38" s="7"/>
      <c r="AY38" s="15" t="s">
        <v>117</v>
      </c>
      <c r="AZ38" s="31"/>
      <c r="BA38" s="31"/>
      <c r="BC38" s="7"/>
    </row>
    <row r="39">
      <c r="K39" s="7"/>
      <c r="V39" s="7"/>
      <c r="AG39" s="7"/>
      <c r="AR39" s="7"/>
      <c r="BC39" s="7"/>
    </row>
    <row r="40">
      <c r="K40" s="7"/>
      <c r="V40" s="7"/>
      <c r="AG40" s="7"/>
      <c r="AR40" s="7"/>
      <c r="BC40" s="7"/>
    </row>
    <row r="41">
      <c r="B41" s="15" t="s">
        <v>155</v>
      </c>
      <c r="C41" s="15" t="s">
        <v>156</v>
      </c>
      <c r="D41" s="14" t="s">
        <v>44</v>
      </c>
      <c r="E41" s="14" t="s">
        <v>45</v>
      </c>
      <c r="F41" s="14" t="s">
        <v>46</v>
      </c>
      <c r="G41" s="14" t="s">
        <v>47</v>
      </c>
      <c r="H41" s="14" t="s">
        <v>49</v>
      </c>
      <c r="I41" s="14" t="s">
        <v>50</v>
      </c>
      <c r="K41" s="7"/>
      <c r="M41" s="15" t="s">
        <v>155</v>
      </c>
      <c r="N41" s="15" t="s">
        <v>156</v>
      </c>
      <c r="O41" s="14" t="s">
        <v>44</v>
      </c>
      <c r="P41" s="14" t="s">
        <v>45</v>
      </c>
      <c r="Q41" s="14" t="s">
        <v>46</v>
      </c>
      <c r="R41" s="14" t="s">
        <v>47</v>
      </c>
      <c r="S41" s="14" t="s">
        <v>49</v>
      </c>
      <c r="T41" s="14" t="s">
        <v>50</v>
      </c>
      <c r="V41" s="7"/>
      <c r="X41" s="15" t="s">
        <v>155</v>
      </c>
      <c r="Y41" s="15" t="s">
        <v>157</v>
      </c>
      <c r="Z41" s="14" t="s">
        <v>44</v>
      </c>
      <c r="AA41" s="14" t="s">
        <v>45</v>
      </c>
      <c r="AB41" s="14" t="s">
        <v>46</v>
      </c>
      <c r="AC41" s="14" t="s">
        <v>47</v>
      </c>
      <c r="AD41" s="14" t="s">
        <v>49</v>
      </c>
      <c r="AE41" s="14" t="s">
        <v>50</v>
      </c>
      <c r="AG41" s="7"/>
      <c r="AI41" s="15" t="s">
        <v>155</v>
      </c>
      <c r="AJ41" s="15" t="s">
        <v>156</v>
      </c>
      <c r="AK41" s="14" t="s">
        <v>44</v>
      </c>
      <c r="AL41" s="14" t="s">
        <v>45</v>
      </c>
      <c r="AM41" s="14" t="s">
        <v>46</v>
      </c>
      <c r="AN41" s="14" t="s">
        <v>47</v>
      </c>
      <c r="AO41" s="14" t="s">
        <v>49</v>
      </c>
      <c r="AP41" s="14" t="s">
        <v>50</v>
      </c>
      <c r="AR41" s="7"/>
      <c r="AT41" s="15" t="s">
        <v>155</v>
      </c>
      <c r="AU41" s="15" t="s">
        <v>156</v>
      </c>
      <c r="AV41" s="14" t="s">
        <v>44</v>
      </c>
      <c r="AW41" s="14" t="s">
        <v>45</v>
      </c>
      <c r="AX41" s="14" t="s">
        <v>46</v>
      </c>
      <c r="AY41" s="14" t="s">
        <v>47</v>
      </c>
      <c r="AZ41" s="14" t="s">
        <v>49</v>
      </c>
      <c r="BA41" s="14" t="s">
        <v>50</v>
      </c>
      <c r="BC41" s="7"/>
    </row>
    <row r="42">
      <c r="B42" s="32" t="s">
        <v>159</v>
      </c>
      <c r="C42" s="33"/>
      <c r="D42" s="32">
        <v>3.0</v>
      </c>
      <c r="E42" s="32">
        <v>4.0</v>
      </c>
      <c r="F42" s="32" t="s">
        <v>69</v>
      </c>
      <c r="G42" s="32">
        <v>75.0</v>
      </c>
      <c r="H42" s="32">
        <v>7.0</v>
      </c>
      <c r="I42" s="32"/>
      <c r="K42" s="7"/>
      <c r="M42" s="32" t="s">
        <v>159</v>
      </c>
      <c r="N42" s="33"/>
      <c r="O42" s="32">
        <v>3.0</v>
      </c>
      <c r="P42" s="32">
        <v>4.0</v>
      </c>
      <c r="Q42" s="32" t="s">
        <v>85</v>
      </c>
      <c r="R42" s="15">
        <v>80.0</v>
      </c>
      <c r="S42" s="15">
        <v>7.5</v>
      </c>
      <c r="T42" s="31"/>
      <c r="V42" s="7"/>
      <c r="X42" s="32" t="s">
        <v>159</v>
      </c>
      <c r="Y42" s="33"/>
      <c r="Z42" s="32">
        <v>3.0</v>
      </c>
      <c r="AA42" s="32">
        <v>4.0</v>
      </c>
      <c r="AB42" s="32" t="s">
        <v>92</v>
      </c>
      <c r="AC42" s="32">
        <v>90.0</v>
      </c>
      <c r="AD42" s="32">
        <v>9.0</v>
      </c>
      <c r="AE42" s="31"/>
      <c r="AG42" s="7"/>
      <c r="AI42" s="32" t="s">
        <v>171</v>
      </c>
      <c r="AJ42" s="32" t="s">
        <v>172</v>
      </c>
      <c r="AK42" s="32">
        <v>3.0</v>
      </c>
      <c r="AL42" s="32">
        <v>4.0</v>
      </c>
      <c r="AM42" s="32" t="s">
        <v>64</v>
      </c>
      <c r="AN42" s="31"/>
      <c r="AO42" s="31"/>
      <c r="AP42" s="31"/>
      <c r="AR42" s="7"/>
      <c r="AT42" s="32" t="s">
        <v>171</v>
      </c>
      <c r="AU42" s="32" t="s">
        <v>172</v>
      </c>
      <c r="AV42" s="32">
        <v>3.0</v>
      </c>
      <c r="AW42" s="32">
        <v>4.0</v>
      </c>
      <c r="AX42" s="32" t="s">
        <v>69</v>
      </c>
      <c r="AY42" s="15">
        <v>80.0</v>
      </c>
      <c r="AZ42" s="31"/>
      <c r="BA42" s="31"/>
      <c r="BC42" s="7"/>
    </row>
    <row r="43">
      <c r="B43" s="32" t="s">
        <v>25</v>
      </c>
      <c r="C43" s="33"/>
      <c r="D43" s="32">
        <v>3.0</v>
      </c>
      <c r="E43" s="37">
        <v>46240.0</v>
      </c>
      <c r="F43" s="32" t="s">
        <v>85</v>
      </c>
      <c r="G43" s="32">
        <v>40.0</v>
      </c>
      <c r="H43" s="32">
        <v>8.0</v>
      </c>
      <c r="I43" s="33"/>
      <c r="K43" s="7"/>
      <c r="M43" s="32" t="s">
        <v>25</v>
      </c>
      <c r="N43" s="33"/>
      <c r="O43" s="32">
        <v>3.0</v>
      </c>
      <c r="P43" s="37">
        <v>46240.0</v>
      </c>
      <c r="Q43" s="32" t="s">
        <v>93</v>
      </c>
      <c r="R43" s="15">
        <v>40.0</v>
      </c>
      <c r="S43" s="15"/>
      <c r="T43" s="31"/>
      <c r="V43" s="7"/>
      <c r="X43" s="32" t="s">
        <v>25</v>
      </c>
      <c r="Y43" s="33"/>
      <c r="Z43" s="32">
        <v>3.0</v>
      </c>
      <c r="AA43" s="37">
        <v>46240.0</v>
      </c>
      <c r="AB43" s="32" t="s">
        <v>92</v>
      </c>
      <c r="AC43" s="32">
        <v>40.0</v>
      </c>
      <c r="AD43" s="32">
        <v>9.0</v>
      </c>
      <c r="AE43" s="31"/>
      <c r="AG43" s="7"/>
      <c r="AI43" s="32" t="s">
        <v>25</v>
      </c>
      <c r="AJ43" s="33"/>
      <c r="AK43" s="32">
        <v>3.0</v>
      </c>
      <c r="AL43" s="37">
        <v>46240.0</v>
      </c>
      <c r="AM43" s="32" t="s">
        <v>72</v>
      </c>
      <c r="AN43" s="31"/>
      <c r="AO43" s="31"/>
      <c r="AP43" s="31"/>
      <c r="AR43" s="7"/>
      <c r="AT43" s="32" t="s">
        <v>25</v>
      </c>
      <c r="AU43" s="33"/>
      <c r="AV43" s="32">
        <v>3.0</v>
      </c>
      <c r="AW43" s="37">
        <v>46240.0</v>
      </c>
      <c r="AX43" s="32" t="s">
        <v>85</v>
      </c>
      <c r="AY43" s="15">
        <v>50.0</v>
      </c>
      <c r="AZ43" s="31"/>
      <c r="BA43" s="31"/>
      <c r="BC43" s="7"/>
    </row>
    <row r="44">
      <c r="B44" s="32" t="s">
        <v>161</v>
      </c>
      <c r="C44" s="33"/>
      <c r="D44" s="32">
        <v>3.0</v>
      </c>
      <c r="E44" s="37">
        <v>46303.0</v>
      </c>
      <c r="F44" s="32" t="s">
        <v>85</v>
      </c>
      <c r="G44" s="32">
        <v>40.0</v>
      </c>
      <c r="H44" s="32">
        <v>7.0</v>
      </c>
      <c r="I44" s="33"/>
      <c r="K44" s="7"/>
      <c r="M44" s="32" t="s">
        <v>161</v>
      </c>
      <c r="N44" s="33"/>
      <c r="O44" s="32">
        <v>3.0</v>
      </c>
      <c r="P44" s="37">
        <v>46303.0</v>
      </c>
      <c r="Q44" s="32" t="s">
        <v>93</v>
      </c>
      <c r="R44" s="15">
        <v>60.0</v>
      </c>
      <c r="S44" s="15"/>
      <c r="T44" s="31"/>
      <c r="V44" s="7"/>
      <c r="X44" s="32" t="s">
        <v>161</v>
      </c>
      <c r="Y44" s="33"/>
      <c r="Z44" s="32">
        <v>3.0</v>
      </c>
      <c r="AA44" s="37">
        <v>46303.0</v>
      </c>
      <c r="AB44" s="32" t="s">
        <v>92</v>
      </c>
      <c r="AC44" s="32">
        <v>80.0</v>
      </c>
      <c r="AD44" s="32">
        <v>9.0</v>
      </c>
      <c r="AE44" s="31"/>
      <c r="AG44" s="7"/>
      <c r="AI44" s="32" t="s">
        <v>161</v>
      </c>
      <c r="AJ44" s="33"/>
      <c r="AK44" s="32">
        <v>3.0</v>
      </c>
      <c r="AL44" s="37">
        <v>46303.0</v>
      </c>
      <c r="AM44" s="32" t="s">
        <v>72</v>
      </c>
      <c r="AN44" s="31"/>
      <c r="AO44" s="31"/>
      <c r="AP44" s="31"/>
      <c r="AR44" s="7"/>
      <c r="AT44" s="32" t="s">
        <v>161</v>
      </c>
      <c r="AU44" s="33"/>
      <c r="AV44" s="32">
        <v>3.0</v>
      </c>
      <c r="AW44" s="37">
        <v>46303.0</v>
      </c>
      <c r="AX44" s="32" t="s">
        <v>85</v>
      </c>
      <c r="AY44" s="15">
        <v>80.0</v>
      </c>
      <c r="AZ44" s="31"/>
      <c r="BA44" s="31"/>
      <c r="BC44" s="7"/>
    </row>
    <row r="45">
      <c r="B45" s="32" t="s">
        <v>162</v>
      </c>
      <c r="C45" s="33"/>
      <c r="D45" s="32">
        <v>3.0</v>
      </c>
      <c r="E45" s="32" t="s">
        <v>142</v>
      </c>
      <c r="F45" s="32" t="s">
        <v>85</v>
      </c>
      <c r="G45" s="32">
        <v>32.5</v>
      </c>
      <c r="H45" s="32">
        <v>8.0</v>
      </c>
      <c r="I45" s="33"/>
      <c r="K45" s="7"/>
      <c r="M45" s="32" t="s">
        <v>162</v>
      </c>
      <c r="N45" s="33"/>
      <c r="O45" s="32">
        <v>3.0</v>
      </c>
      <c r="P45" s="32" t="s">
        <v>142</v>
      </c>
      <c r="Q45" s="32" t="s">
        <v>93</v>
      </c>
      <c r="R45" s="15">
        <v>32.5</v>
      </c>
      <c r="S45" s="15"/>
      <c r="T45" s="31"/>
      <c r="V45" s="7"/>
      <c r="X45" s="32" t="s">
        <v>162</v>
      </c>
      <c r="Y45" s="33"/>
      <c r="Z45" s="32">
        <v>3.0</v>
      </c>
      <c r="AA45" s="32" t="s">
        <v>142</v>
      </c>
      <c r="AB45" s="32" t="s">
        <v>92</v>
      </c>
      <c r="AC45" s="32">
        <v>32.5</v>
      </c>
      <c r="AD45" s="32">
        <v>9.0</v>
      </c>
      <c r="AE45" s="31"/>
      <c r="AG45" s="7"/>
      <c r="AI45" s="32" t="s">
        <v>162</v>
      </c>
      <c r="AJ45" s="33"/>
      <c r="AK45" s="32">
        <v>3.0</v>
      </c>
      <c r="AL45" s="32" t="s">
        <v>142</v>
      </c>
      <c r="AM45" s="32" t="s">
        <v>72</v>
      </c>
      <c r="AN45" s="31"/>
      <c r="AO45" s="31"/>
      <c r="AP45" s="31"/>
      <c r="AR45" s="7"/>
      <c r="AT45" s="32" t="s">
        <v>162</v>
      </c>
      <c r="AU45" s="33"/>
      <c r="AV45" s="32">
        <v>3.0</v>
      </c>
      <c r="AW45" s="32" t="s">
        <v>142</v>
      </c>
      <c r="AX45" s="32" t="s">
        <v>85</v>
      </c>
      <c r="AY45" s="15">
        <v>32.5</v>
      </c>
      <c r="AZ45" s="31"/>
      <c r="BA45" s="31"/>
      <c r="BC45" s="7"/>
    </row>
    <row r="46">
      <c r="B46" s="32" t="s">
        <v>163</v>
      </c>
      <c r="C46" s="33"/>
      <c r="D46" s="32">
        <v>3.0</v>
      </c>
      <c r="E46" s="37">
        <v>46303.0</v>
      </c>
      <c r="F46" s="32" t="s">
        <v>85</v>
      </c>
      <c r="G46" s="32">
        <v>40.0</v>
      </c>
      <c r="H46" s="32">
        <v>8.0</v>
      </c>
      <c r="I46" s="33"/>
      <c r="K46" s="7"/>
      <c r="M46" s="32" t="s">
        <v>163</v>
      </c>
      <c r="N46" s="33"/>
      <c r="O46" s="32">
        <v>3.0</v>
      </c>
      <c r="P46" s="37">
        <v>46303.0</v>
      </c>
      <c r="Q46" s="32" t="s">
        <v>93</v>
      </c>
      <c r="R46" s="15">
        <v>20.0</v>
      </c>
      <c r="S46" s="15"/>
      <c r="T46" s="31"/>
      <c r="V46" s="7"/>
      <c r="X46" s="32" t="s">
        <v>163</v>
      </c>
      <c r="Y46" s="33"/>
      <c r="Z46" s="32">
        <v>3.0</v>
      </c>
      <c r="AA46" s="37">
        <v>46303.0</v>
      </c>
      <c r="AB46" s="32" t="s">
        <v>92</v>
      </c>
      <c r="AC46" s="32">
        <v>20.0</v>
      </c>
      <c r="AD46" s="32">
        <v>9.0</v>
      </c>
      <c r="AE46" s="31"/>
      <c r="AG46" s="7"/>
      <c r="AI46" s="32" t="s">
        <v>163</v>
      </c>
      <c r="AJ46" s="33"/>
      <c r="AK46" s="32">
        <v>3.0</v>
      </c>
      <c r="AL46" s="37">
        <v>46303.0</v>
      </c>
      <c r="AM46" s="32" t="s">
        <v>72</v>
      </c>
      <c r="AN46" s="31"/>
      <c r="AO46" s="31"/>
      <c r="AP46" s="31"/>
      <c r="AR46" s="7"/>
      <c r="AT46" s="32" t="s">
        <v>163</v>
      </c>
      <c r="AU46" s="33"/>
      <c r="AV46" s="32">
        <v>3.0</v>
      </c>
      <c r="AW46" s="37">
        <v>46303.0</v>
      </c>
      <c r="AX46" s="32" t="s">
        <v>85</v>
      </c>
      <c r="AY46" s="15">
        <v>3.0</v>
      </c>
      <c r="AZ46" s="31"/>
      <c r="BA46" s="31"/>
      <c r="BC46" s="7"/>
    </row>
    <row r="47">
      <c r="B47" s="32" t="s">
        <v>164</v>
      </c>
      <c r="C47" s="33"/>
      <c r="D47" s="32">
        <v>3.0</v>
      </c>
      <c r="E47" s="37">
        <v>46366.0</v>
      </c>
      <c r="F47" s="32" t="s">
        <v>85</v>
      </c>
      <c r="G47" s="32">
        <v>35.0</v>
      </c>
      <c r="H47" s="32"/>
      <c r="I47" s="33"/>
      <c r="K47" s="7"/>
      <c r="M47" s="32" t="s">
        <v>164</v>
      </c>
      <c r="N47" s="33"/>
      <c r="O47" s="32">
        <v>3.0</v>
      </c>
      <c r="P47" s="37">
        <v>46366.0</v>
      </c>
      <c r="Q47" s="32" t="s">
        <v>93</v>
      </c>
      <c r="R47" s="15">
        <v>40.0</v>
      </c>
      <c r="S47" s="15"/>
      <c r="T47" s="31"/>
      <c r="V47" s="7"/>
      <c r="X47" s="32" t="s">
        <v>164</v>
      </c>
      <c r="Y47" s="33"/>
      <c r="Z47" s="32">
        <v>3.0</v>
      </c>
      <c r="AA47" s="37">
        <v>46366.0</v>
      </c>
      <c r="AB47" s="32" t="s">
        <v>92</v>
      </c>
      <c r="AC47" s="32">
        <v>40.0</v>
      </c>
      <c r="AE47" s="31"/>
      <c r="AG47" s="7"/>
      <c r="AI47" s="32" t="s">
        <v>164</v>
      </c>
      <c r="AJ47" s="33"/>
      <c r="AK47" s="32">
        <v>3.0</v>
      </c>
      <c r="AL47" s="37">
        <v>46366.0</v>
      </c>
      <c r="AM47" s="32" t="s">
        <v>72</v>
      </c>
      <c r="AN47" s="31"/>
      <c r="AO47" s="31"/>
      <c r="AP47" s="31"/>
      <c r="AR47" s="7"/>
      <c r="AT47" s="32" t="s">
        <v>164</v>
      </c>
      <c r="AU47" s="33"/>
      <c r="AV47" s="32">
        <v>3.0</v>
      </c>
      <c r="AW47" s="37">
        <v>46366.0</v>
      </c>
      <c r="AX47" s="32" t="s">
        <v>85</v>
      </c>
      <c r="AY47" s="31"/>
      <c r="AZ47" s="31"/>
      <c r="BA47" s="31"/>
      <c r="BC47" s="7"/>
    </row>
    <row r="48">
      <c r="B48" s="32" t="s">
        <v>235</v>
      </c>
      <c r="C48" s="33"/>
      <c r="D48" s="32">
        <v>3.0</v>
      </c>
      <c r="E48" s="37">
        <v>46366.0</v>
      </c>
      <c r="F48" s="32" t="s">
        <v>85</v>
      </c>
      <c r="G48" s="32"/>
      <c r="H48" s="32"/>
      <c r="I48" s="33"/>
      <c r="K48" s="7"/>
      <c r="M48" s="32" t="s">
        <v>236</v>
      </c>
      <c r="N48" s="33"/>
      <c r="O48" s="32">
        <v>3.0</v>
      </c>
      <c r="P48" s="37">
        <v>46366.0</v>
      </c>
      <c r="Q48" s="32" t="s">
        <v>93</v>
      </c>
      <c r="R48" s="15">
        <v>12.0</v>
      </c>
      <c r="S48" s="31"/>
      <c r="T48" s="31"/>
      <c r="V48" s="7"/>
      <c r="X48" s="32" t="s">
        <v>236</v>
      </c>
      <c r="Y48" s="33"/>
      <c r="Z48" s="32">
        <v>3.0</v>
      </c>
      <c r="AA48" s="37">
        <v>46366.0</v>
      </c>
      <c r="AB48" s="32" t="s">
        <v>92</v>
      </c>
      <c r="AC48" s="31"/>
      <c r="AD48" s="33"/>
      <c r="AE48" s="31"/>
      <c r="AG48" s="7"/>
      <c r="AI48" s="32">
        <v>9.0</v>
      </c>
      <c r="AJ48" s="33"/>
      <c r="AK48" s="32">
        <v>3.0</v>
      </c>
      <c r="AL48" s="37">
        <v>46366.0</v>
      </c>
      <c r="AM48" s="32" t="s">
        <v>72</v>
      </c>
      <c r="AN48" s="31"/>
      <c r="AO48" s="31"/>
      <c r="AP48" s="31"/>
      <c r="AR48" s="7"/>
      <c r="AT48" s="32">
        <v>9.0</v>
      </c>
      <c r="AU48" s="33"/>
      <c r="AV48" s="32">
        <v>3.0</v>
      </c>
      <c r="AW48" s="37">
        <v>46366.0</v>
      </c>
      <c r="AX48" s="32" t="s">
        <v>85</v>
      </c>
      <c r="AY48" s="31"/>
      <c r="AZ48" s="31"/>
      <c r="BA48" s="31"/>
      <c r="BC48" s="7"/>
    </row>
    <row r="49">
      <c r="B49" s="33"/>
      <c r="C49" s="33"/>
      <c r="D49" s="33"/>
      <c r="E49" s="33"/>
      <c r="F49" s="33"/>
      <c r="G49" s="33"/>
      <c r="H49" s="33"/>
      <c r="I49" s="33"/>
      <c r="K49" s="7"/>
      <c r="M49" s="15" t="s">
        <v>237</v>
      </c>
      <c r="N49" s="31"/>
      <c r="O49" s="31"/>
      <c r="P49" s="31"/>
      <c r="Q49" s="31"/>
      <c r="R49" s="31"/>
      <c r="S49" s="31"/>
      <c r="T49" s="31"/>
      <c r="V49" s="7"/>
      <c r="X49" s="31"/>
      <c r="Y49" s="31"/>
      <c r="Z49" s="31"/>
      <c r="AA49" s="31"/>
      <c r="AB49" s="31"/>
      <c r="AC49" s="31"/>
      <c r="AD49" s="31"/>
      <c r="AE49" s="31"/>
      <c r="AG49" s="7"/>
      <c r="AI49" s="31"/>
      <c r="AJ49" s="31"/>
      <c r="AK49" s="31"/>
      <c r="AL49" s="31"/>
      <c r="AM49" s="31"/>
      <c r="AN49" s="31"/>
      <c r="AO49" s="31"/>
      <c r="AP49" s="31"/>
      <c r="AR49" s="7"/>
      <c r="AT49" s="31"/>
      <c r="AU49" s="31"/>
      <c r="AV49" s="31"/>
      <c r="AW49" s="31"/>
      <c r="AX49" s="31"/>
      <c r="AY49" s="31"/>
      <c r="AZ49" s="31"/>
      <c r="BA49" s="31"/>
      <c r="BC49" s="7"/>
    </row>
    <row r="50">
      <c r="B50" s="31"/>
      <c r="C50" s="31"/>
      <c r="D50" s="31"/>
      <c r="E50" s="31"/>
      <c r="F50" s="31"/>
      <c r="G50" s="31"/>
      <c r="H50" s="31"/>
      <c r="I50" s="31"/>
      <c r="K50" s="7"/>
      <c r="M50" s="31"/>
      <c r="N50" s="31"/>
      <c r="O50" s="31"/>
      <c r="P50" s="31"/>
      <c r="Q50" s="31"/>
      <c r="R50" s="31"/>
      <c r="S50" s="31"/>
      <c r="T50" s="31"/>
      <c r="V50" s="7"/>
      <c r="X50" s="31"/>
      <c r="Y50" s="31"/>
      <c r="Z50" s="31"/>
      <c r="AA50" s="31"/>
      <c r="AB50" s="31"/>
      <c r="AC50" s="31"/>
      <c r="AD50" s="31"/>
      <c r="AE50" s="31"/>
      <c r="AG50" s="7"/>
      <c r="AI50" s="31"/>
      <c r="AJ50" s="31"/>
      <c r="AK50" s="31"/>
      <c r="AL50" s="31"/>
      <c r="AM50" s="31"/>
      <c r="AN50" s="31"/>
      <c r="AO50" s="31"/>
      <c r="AP50" s="31"/>
      <c r="AR50" s="7"/>
      <c r="AT50" s="31"/>
      <c r="AU50" s="31"/>
      <c r="AV50" s="31"/>
      <c r="AW50" s="31"/>
      <c r="AX50" s="31"/>
      <c r="AY50" s="31"/>
      <c r="AZ50" s="31"/>
      <c r="BA50" s="31"/>
      <c r="BC50" s="7"/>
    </row>
    <row r="51">
      <c r="G51" s="14" t="s">
        <v>108</v>
      </c>
      <c r="H51" s="14" t="s">
        <v>109</v>
      </c>
      <c r="I51" s="14" t="s">
        <v>110</v>
      </c>
      <c r="K51" s="7"/>
      <c r="R51" s="14" t="s">
        <v>108</v>
      </c>
      <c r="S51" s="14" t="s">
        <v>109</v>
      </c>
      <c r="T51" s="14" t="s">
        <v>110</v>
      </c>
      <c r="V51" s="7"/>
      <c r="AC51" s="14" t="s">
        <v>108</v>
      </c>
      <c r="AD51" s="14" t="s">
        <v>109</v>
      </c>
      <c r="AE51" s="14" t="s">
        <v>110</v>
      </c>
      <c r="AG51" s="7"/>
      <c r="AN51" s="14" t="s">
        <v>108</v>
      </c>
      <c r="AO51" s="14" t="s">
        <v>109</v>
      </c>
      <c r="AP51" s="14" t="s">
        <v>110</v>
      </c>
      <c r="AR51" s="7"/>
      <c r="AY51" s="14" t="s">
        <v>108</v>
      </c>
      <c r="AZ51" s="14" t="s">
        <v>109</v>
      </c>
      <c r="BA51" s="14" t="s">
        <v>110</v>
      </c>
      <c r="BC51" s="7"/>
    </row>
    <row r="52">
      <c r="G52" s="15" t="s">
        <v>117</v>
      </c>
      <c r="H52" s="31"/>
      <c r="I52" s="31"/>
      <c r="K52" s="7"/>
      <c r="R52" s="15" t="s">
        <v>117</v>
      </c>
      <c r="S52" s="31"/>
      <c r="T52" s="31"/>
      <c r="V52" s="7"/>
      <c r="AC52" s="15" t="s">
        <v>117</v>
      </c>
      <c r="AD52" s="15" t="s">
        <v>117</v>
      </c>
      <c r="AE52" s="15">
        <v>20.0</v>
      </c>
      <c r="AG52" s="7"/>
      <c r="AN52" s="15" t="s">
        <v>117</v>
      </c>
      <c r="AO52" s="31"/>
      <c r="AP52" s="31"/>
      <c r="AR52" s="7"/>
      <c r="AY52" s="15" t="s">
        <v>117</v>
      </c>
      <c r="AZ52" s="31"/>
      <c r="BA52" s="31"/>
      <c r="BC52" s="7"/>
    </row>
    <row r="53">
      <c r="K53" s="7"/>
      <c r="V53" s="7"/>
      <c r="AG53" s="7"/>
      <c r="AR53" s="7"/>
      <c r="BC53" s="7"/>
    </row>
    <row r="54">
      <c r="K54" s="7"/>
      <c r="M54" s="14" t="s">
        <v>167</v>
      </c>
      <c r="N54" s="14" t="s">
        <v>44</v>
      </c>
      <c r="O54" s="14" t="s">
        <v>45</v>
      </c>
      <c r="P54" s="14" t="s">
        <v>46</v>
      </c>
      <c r="Q54" s="14" t="s">
        <v>47</v>
      </c>
      <c r="R54" s="14" t="s">
        <v>49</v>
      </c>
      <c r="S54" s="14" t="s">
        <v>50</v>
      </c>
      <c r="V54" s="7"/>
      <c r="X54" s="14" t="s">
        <v>168</v>
      </c>
      <c r="Y54" s="14" t="s">
        <v>44</v>
      </c>
      <c r="Z54" s="14" t="s">
        <v>45</v>
      </c>
      <c r="AA54" s="14" t="s">
        <v>46</v>
      </c>
      <c r="AB54" s="14" t="s">
        <v>47</v>
      </c>
      <c r="AC54" s="14" t="s">
        <v>49</v>
      </c>
      <c r="AD54" s="14" t="s">
        <v>50</v>
      </c>
      <c r="AG54" s="7"/>
      <c r="AI54" s="14" t="s">
        <v>168</v>
      </c>
      <c r="AJ54" s="14" t="s">
        <v>44</v>
      </c>
      <c r="AK54" s="14" t="s">
        <v>45</v>
      </c>
      <c r="AL54" s="14" t="s">
        <v>46</v>
      </c>
      <c r="AM54" s="14" t="s">
        <v>47</v>
      </c>
      <c r="AN54" s="14" t="s">
        <v>49</v>
      </c>
      <c r="AO54" s="14" t="s">
        <v>50</v>
      </c>
      <c r="AR54" s="7"/>
      <c r="AT54" s="14" t="s">
        <v>168</v>
      </c>
      <c r="AU54" s="14" t="s">
        <v>44</v>
      </c>
      <c r="AV54" s="14" t="s">
        <v>45</v>
      </c>
      <c r="AW54" s="14" t="s">
        <v>46</v>
      </c>
      <c r="AX54" s="14" t="s">
        <v>47</v>
      </c>
      <c r="AY54" s="14" t="s">
        <v>49</v>
      </c>
      <c r="AZ54" s="14" t="s">
        <v>50</v>
      </c>
      <c r="BC54" s="7"/>
    </row>
    <row r="55">
      <c r="B55" s="14" t="s">
        <v>167</v>
      </c>
      <c r="C55" s="14" t="s">
        <v>44</v>
      </c>
      <c r="D55" s="14" t="s">
        <v>45</v>
      </c>
      <c r="E55" s="14" t="s">
        <v>46</v>
      </c>
      <c r="F55" s="14" t="s">
        <v>47</v>
      </c>
      <c r="G55" s="14" t="s">
        <v>49</v>
      </c>
      <c r="H55" s="14" t="s">
        <v>50</v>
      </c>
      <c r="K55" s="7"/>
      <c r="M55" s="15" t="s">
        <v>117</v>
      </c>
      <c r="N55" s="48" t="str">
        <f t="shared" ref="N55:N57" si="1">IFERROR(VLOOKUP($M55, $M$64:$T$69, 3, FALSE), "")</f>
        <v/>
      </c>
      <c r="O55" s="48" t="str">
        <f t="shared" ref="O55:O57" si="2">IFERROR(VLOOKUP($M55, $M$64:$T$69, 4, FALSE), "")</f>
        <v/>
      </c>
      <c r="P55" s="48" t="str">
        <f t="shared" ref="P55:P57" si="3">IFERROR(VLOOKUP($M55, $M$64:$T$69, 5, FALSE), "")</f>
        <v/>
      </c>
      <c r="Q55" s="31"/>
      <c r="R55" s="31"/>
      <c r="S55" s="31"/>
      <c r="V55" s="7"/>
      <c r="X55" s="15" t="s">
        <v>117</v>
      </c>
      <c r="Y55" s="48" t="str">
        <f t="shared" ref="Y55:Y57" si="4">IFERROR(VLOOKUP($X55, $X$64:$AE$69, 3, FALSE), "")</f>
        <v/>
      </c>
      <c r="Z55" s="48" t="str">
        <f t="shared" ref="Z55:Z57" si="5">IFERROR(VLOOKUP($X55, $X$64:$AE$69, 4, FALSE), "")</f>
        <v/>
      </c>
      <c r="AA55" s="48" t="str">
        <f t="shared" ref="AA55:AA57" si="6">IFERROR(VLOOKUP($X55, $X$64:$AE$69, 5, FALSE), "")</f>
        <v/>
      </c>
      <c r="AB55" s="31"/>
      <c r="AC55" s="31"/>
      <c r="AD55" s="31"/>
      <c r="AG55" s="7"/>
      <c r="AI55" s="15" t="s">
        <v>117</v>
      </c>
      <c r="AJ55" s="48" t="str">
        <f t="shared" ref="AJ55:AJ57" si="7">IFERROR(VLOOKUP($M55, $M$64:$T$69, 3, FALSE), "")</f>
        <v/>
      </c>
      <c r="AK55" s="48" t="str">
        <f t="shared" ref="AK55:AK57" si="8">IFERROR(VLOOKUP($M55, $M$64:$T$69, 4, FALSE), "")</f>
        <v/>
      </c>
      <c r="AL55" s="48" t="str">
        <f t="shared" ref="AL55:AL57" si="9">IFERROR(VLOOKUP($M55, $M$64:$T$69, 5, FALSE), "")</f>
        <v/>
      </c>
      <c r="AM55" s="31"/>
      <c r="AN55" s="31"/>
      <c r="AO55" s="31"/>
      <c r="AR55" s="7"/>
      <c r="AT55" s="15" t="s">
        <v>117</v>
      </c>
      <c r="AU55" s="48" t="str">
        <f t="shared" ref="AU55:AU57" si="10">IFERROR(VLOOKUP($M55, $M$64:$T$69, 3, FALSE), "")</f>
        <v/>
      </c>
      <c r="AV55" s="48" t="str">
        <f t="shared" ref="AV55:AV57" si="11">IFERROR(VLOOKUP($M55, $M$64:$T$69, 4, FALSE), "")</f>
        <v/>
      </c>
      <c r="AW55" s="48" t="str">
        <f t="shared" ref="AW55:AW57" si="12">IFERROR(VLOOKUP($M55, $M$64:$T$69, 5, FALSE), "")</f>
        <v/>
      </c>
      <c r="AX55" s="31"/>
      <c r="AY55" s="31"/>
      <c r="AZ55" s="31"/>
      <c r="BC55" s="7"/>
    </row>
    <row r="56">
      <c r="B56" s="15" t="s">
        <v>117</v>
      </c>
      <c r="C56" s="48" t="str">
        <f t="shared" ref="C56:C58" si="13">IFERROR(VLOOKUP($B56, $B$64:$F$69, 3, FALSE), "")</f>
        <v/>
      </c>
      <c r="D56" s="48" t="str">
        <f t="shared" ref="D56:D58" si="14">IFERROR(VLOOKUP($B56, $B$64:$F$69, 4, FALSE), "")</f>
        <v/>
      </c>
      <c r="E56" s="48" t="str">
        <f t="shared" ref="E56:E58" si="15">IFERROR(VLOOKUP($B56, $B$64:$F$69, 5, FALSE), "")</f>
        <v/>
      </c>
      <c r="F56" s="31"/>
      <c r="G56" s="31"/>
      <c r="H56" s="31"/>
      <c r="K56" s="7"/>
      <c r="M56" s="15" t="s">
        <v>117</v>
      </c>
      <c r="N56" s="31" t="str">
        <f t="shared" si="1"/>
        <v/>
      </c>
      <c r="O56" s="31" t="str">
        <f t="shared" si="2"/>
        <v/>
      </c>
      <c r="P56" s="31" t="str">
        <f t="shared" si="3"/>
        <v/>
      </c>
      <c r="Q56" s="31"/>
      <c r="R56" s="31"/>
      <c r="S56" s="31"/>
      <c r="V56" s="7"/>
      <c r="X56" s="15" t="s">
        <v>117</v>
      </c>
      <c r="Y56" s="31" t="str">
        <f t="shared" si="4"/>
        <v/>
      </c>
      <c r="Z56" s="31" t="str">
        <f t="shared" si="5"/>
        <v/>
      </c>
      <c r="AA56" s="31" t="str">
        <f t="shared" si="6"/>
        <v/>
      </c>
      <c r="AB56" s="31"/>
      <c r="AC56" s="31"/>
      <c r="AD56" s="31"/>
      <c r="AG56" s="7"/>
      <c r="AI56" s="15" t="s">
        <v>117</v>
      </c>
      <c r="AJ56" s="31" t="str">
        <f t="shared" si="7"/>
        <v/>
      </c>
      <c r="AK56" s="31" t="str">
        <f t="shared" si="8"/>
        <v/>
      </c>
      <c r="AL56" s="31" t="str">
        <f t="shared" si="9"/>
        <v/>
      </c>
      <c r="AM56" s="31"/>
      <c r="AN56" s="31"/>
      <c r="AO56" s="31"/>
      <c r="AR56" s="7"/>
      <c r="AT56" s="15" t="s">
        <v>117</v>
      </c>
      <c r="AU56" s="31" t="str">
        <f t="shared" si="10"/>
        <v/>
      </c>
      <c r="AV56" s="31" t="str">
        <f t="shared" si="11"/>
        <v/>
      </c>
      <c r="AW56" s="31" t="str">
        <f t="shared" si="12"/>
        <v/>
      </c>
      <c r="AX56" s="31"/>
      <c r="AY56" s="31"/>
      <c r="AZ56" s="31"/>
      <c r="BC56" s="7"/>
    </row>
    <row r="57">
      <c r="B57" s="15" t="s">
        <v>117</v>
      </c>
      <c r="C57" s="31" t="str">
        <f t="shared" si="13"/>
        <v/>
      </c>
      <c r="D57" s="31" t="str">
        <f t="shared" si="14"/>
        <v/>
      </c>
      <c r="E57" s="31" t="str">
        <f t="shared" si="15"/>
        <v/>
      </c>
      <c r="F57" s="31"/>
      <c r="G57" s="31"/>
      <c r="H57" s="31"/>
      <c r="K57" s="7"/>
      <c r="M57" s="15" t="s">
        <v>117</v>
      </c>
      <c r="N57" s="31" t="str">
        <f t="shared" si="1"/>
        <v/>
      </c>
      <c r="O57" s="31" t="str">
        <f t="shared" si="2"/>
        <v/>
      </c>
      <c r="P57" s="31" t="str">
        <f t="shared" si="3"/>
        <v/>
      </c>
      <c r="Q57" s="31"/>
      <c r="R57" s="31"/>
      <c r="S57" s="31"/>
      <c r="V57" s="7"/>
      <c r="X57" s="15" t="s">
        <v>117</v>
      </c>
      <c r="Y57" s="31" t="str">
        <f t="shared" si="4"/>
        <v/>
      </c>
      <c r="Z57" s="31" t="str">
        <f t="shared" si="5"/>
        <v/>
      </c>
      <c r="AA57" s="31" t="str">
        <f t="shared" si="6"/>
        <v/>
      </c>
      <c r="AB57" s="31"/>
      <c r="AC57" s="31"/>
      <c r="AD57" s="31"/>
      <c r="AG57" s="7"/>
      <c r="AI57" s="15" t="s">
        <v>117</v>
      </c>
      <c r="AJ57" s="31" t="str">
        <f t="shared" si="7"/>
        <v/>
      </c>
      <c r="AK57" s="31" t="str">
        <f t="shared" si="8"/>
        <v/>
      </c>
      <c r="AL57" s="31" t="str">
        <f t="shared" si="9"/>
        <v/>
      </c>
      <c r="AM57" s="31"/>
      <c r="AN57" s="31"/>
      <c r="AO57" s="31"/>
      <c r="AR57" s="7"/>
      <c r="AT57" s="15" t="s">
        <v>117</v>
      </c>
      <c r="AU57" s="31" t="str">
        <f t="shared" si="10"/>
        <v/>
      </c>
      <c r="AV57" s="31" t="str">
        <f t="shared" si="11"/>
        <v/>
      </c>
      <c r="AW57" s="31" t="str">
        <f t="shared" si="12"/>
        <v/>
      </c>
      <c r="AX57" s="31"/>
      <c r="AY57" s="31"/>
      <c r="AZ57" s="31"/>
      <c r="BC57" s="7"/>
    </row>
    <row r="58">
      <c r="B58" s="15" t="s">
        <v>117</v>
      </c>
      <c r="C58" s="31" t="str">
        <f t="shared" si="13"/>
        <v/>
      </c>
      <c r="D58" s="31" t="str">
        <f t="shared" si="14"/>
        <v/>
      </c>
      <c r="E58" s="31" t="str">
        <f t="shared" si="15"/>
        <v/>
      </c>
      <c r="F58" s="31"/>
      <c r="G58" s="31"/>
      <c r="H58" s="31"/>
      <c r="K58" s="7"/>
      <c r="V58" s="7"/>
      <c r="AG58" s="7"/>
      <c r="AR58" s="7"/>
      <c r="BC58" s="7"/>
    </row>
    <row r="59">
      <c r="B59" s="91"/>
      <c r="K59" s="7"/>
      <c r="V59" s="7"/>
      <c r="AG59" s="7"/>
      <c r="AR59" s="7"/>
      <c r="BC59" s="7"/>
    </row>
    <row r="60">
      <c r="K60" s="7"/>
      <c r="V60" s="7"/>
      <c r="AG60" s="7"/>
      <c r="AR60" s="7"/>
      <c r="BC60" s="7"/>
    </row>
    <row r="61">
      <c r="K61" s="7"/>
      <c r="V61" s="7"/>
      <c r="AG61" s="7"/>
      <c r="AR61" s="7"/>
      <c r="BC61" s="7"/>
    </row>
    <row r="62">
      <c r="K62" s="7"/>
      <c r="V62" s="7"/>
      <c r="AG62" s="7"/>
      <c r="AR62" s="7"/>
      <c r="BC62" s="7"/>
    </row>
    <row r="63">
      <c r="B63" s="15" t="s">
        <v>169</v>
      </c>
      <c r="E63" s="14" t="s">
        <v>45</v>
      </c>
      <c r="F63" s="14" t="s">
        <v>46</v>
      </c>
      <c r="G63" s="14" t="s">
        <v>47</v>
      </c>
      <c r="H63" s="14" t="s">
        <v>49</v>
      </c>
      <c r="I63" s="14" t="s">
        <v>50</v>
      </c>
      <c r="K63" s="7"/>
      <c r="M63" s="15" t="s">
        <v>169</v>
      </c>
      <c r="N63" s="15" t="s">
        <v>43</v>
      </c>
      <c r="O63" s="14" t="s">
        <v>44</v>
      </c>
      <c r="P63" s="14" t="s">
        <v>45</v>
      </c>
      <c r="Q63" s="14" t="s">
        <v>46</v>
      </c>
      <c r="R63" s="14" t="s">
        <v>47</v>
      </c>
      <c r="S63" s="14" t="s">
        <v>49</v>
      </c>
      <c r="T63" s="14" t="s">
        <v>50</v>
      </c>
      <c r="V63" s="7"/>
      <c r="X63" s="15" t="s">
        <v>169</v>
      </c>
      <c r="Y63" s="15" t="s">
        <v>43</v>
      </c>
      <c r="Z63" s="14" t="s">
        <v>44</v>
      </c>
      <c r="AA63" s="14" t="s">
        <v>45</v>
      </c>
      <c r="AB63" s="14" t="s">
        <v>46</v>
      </c>
      <c r="AC63" s="14" t="s">
        <v>47</v>
      </c>
      <c r="AD63" s="14" t="s">
        <v>49</v>
      </c>
      <c r="AE63" s="14" t="s">
        <v>50</v>
      </c>
      <c r="AG63" s="7"/>
      <c r="AI63" s="15" t="s">
        <v>169</v>
      </c>
      <c r="AJ63" s="15" t="s">
        <v>238</v>
      </c>
      <c r="AK63" s="14" t="s">
        <v>44</v>
      </c>
      <c r="AL63" s="14" t="s">
        <v>45</v>
      </c>
      <c r="AM63" s="14" t="s">
        <v>46</v>
      </c>
      <c r="AN63" s="14" t="s">
        <v>47</v>
      </c>
      <c r="AO63" s="14" t="s">
        <v>49</v>
      </c>
      <c r="AP63" s="14" t="s">
        <v>50</v>
      </c>
      <c r="AR63" s="7"/>
      <c r="AT63" s="15" t="s">
        <v>169</v>
      </c>
      <c r="AU63" s="15" t="s">
        <v>238</v>
      </c>
      <c r="AV63" s="14" t="s">
        <v>44</v>
      </c>
      <c r="AW63" s="14" t="s">
        <v>45</v>
      </c>
      <c r="AX63" s="14" t="s">
        <v>46</v>
      </c>
      <c r="AY63" s="14" t="s">
        <v>47</v>
      </c>
      <c r="AZ63" s="14" t="s">
        <v>49</v>
      </c>
      <c r="BA63" s="14" t="s">
        <v>50</v>
      </c>
      <c r="BC63" s="7"/>
    </row>
    <row r="64">
      <c r="B64" s="15" t="s">
        <v>124</v>
      </c>
      <c r="D64" s="91">
        <v>3.0</v>
      </c>
      <c r="E64" s="92" t="s">
        <v>170</v>
      </c>
      <c r="F64" s="32" t="s">
        <v>69</v>
      </c>
      <c r="G64" s="15">
        <v>80.0</v>
      </c>
      <c r="H64" s="15">
        <v>7.0</v>
      </c>
      <c r="I64" s="31"/>
      <c r="K64" s="7"/>
      <c r="M64" s="15" t="s">
        <v>124</v>
      </c>
      <c r="O64" s="91">
        <v>3.0</v>
      </c>
      <c r="P64" s="92" t="s">
        <v>170</v>
      </c>
      <c r="Q64" s="32" t="s">
        <v>93</v>
      </c>
      <c r="R64" s="15">
        <v>85.0</v>
      </c>
      <c r="S64" s="15"/>
      <c r="T64" s="31"/>
      <c r="V64" s="7"/>
      <c r="X64" s="32" t="s">
        <v>124</v>
      </c>
      <c r="Y64" s="93"/>
      <c r="Z64" s="94">
        <v>3.0</v>
      </c>
      <c r="AA64" s="92" t="s">
        <v>170</v>
      </c>
      <c r="AB64" s="32" t="s">
        <v>92</v>
      </c>
      <c r="AC64" s="33"/>
      <c r="AD64" s="33"/>
      <c r="AE64" s="31"/>
      <c r="AG64" s="7"/>
      <c r="AI64" s="32" t="s">
        <v>124</v>
      </c>
      <c r="AJ64" s="93"/>
      <c r="AK64" s="94">
        <v>3.0</v>
      </c>
      <c r="AL64" s="92" t="s">
        <v>170</v>
      </c>
      <c r="AM64" s="32" t="s">
        <v>64</v>
      </c>
      <c r="AN64" s="31"/>
      <c r="AO64" s="31"/>
      <c r="AP64" s="31"/>
      <c r="AR64" s="7"/>
      <c r="AT64" s="32" t="s">
        <v>124</v>
      </c>
      <c r="AU64" s="93"/>
      <c r="AV64" s="94">
        <v>3.0</v>
      </c>
      <c r="AW64" s="92" t="s">
        <v>170</v>
      </c>
      <c r="AX64" s="32" t="s">
        <v>239</v>
      </c>
      <c r="AY64" s="31"/>
      <c r="AZ64" s="31"/>
      <c r="BA64" s="31"/>
      <c r="BC64" s="7"/>
    </row>
    <row r="65">
      <c r="B65" s="15" t="s">
        <v>105</v>
      </c>
      <c r="C65" s="31"/>
      <c r="D65" s="32">
        <v>3.0</v>
      </c>
      <c r="E65" s="92" t="s">
        <v>240</v>
      </c>
      <c r="F65" s="32" t="s">
        <v>85</v>
      </c>
      <c r="G65" s="15">
        <v>75.0</v>
      </c>
      <c r="H65" s="15">
        <v>8.0</v>
      </c>
      <c r="I65" s="31"/>
      <c r="K65" s="7"/>
      <c r="M65" s="15" t="s">
        <v>105</v>
      </c>
      <c r="N65" s="31"/>
      <c r="O65" s="32">
        <v>3.0</v>
      </c>
      <c r="P65" s="92" t="s">
        <v>240</v>
      </c>
      <c r="Q65" s="32" t="s">
        <v>93</v>
      </c>
      <c r="R65" s="15">
        <v>70.0</v>
      </c>
      <c r="S65" s="15"/>
      <c r="T65" s="15"/>
      <c r="V65" s="7"/>
      <c r="X65" s="32" t="s">
        <v>105</v>
      </c>
      <c r="Y65" s="33"/>
      <c r="Z65" s="32">
        <v>3.0</v>
      </c>
      <c r="AA65" s="92" t="s">
        <v>240</v>
      </c>
      <c r="AB65" s="32" t="s">
        <v>92</v>
      </c>
      <c r="AC65" s="33"/>
      <c r="AD65" s="33"/>
      <c r="AE65" s="31"/>
      <c r="AG65" s="7"/>
      <c r="AI65" s="32" t="s">
        <v>105</v>
      </c>
      <c r="AJ65" s="33"/>
      <c r="AK65" s="32">
        <v>3.0</v>
      </c>
      <c r="AL65" s="92" t="s">
        <v>240</v>
      </c>
      <c r="AM65" s="32" t="s">
        <v>72</v>
      </c>
      <c r="AN65" s="31"/>
      <c r="AO65" s="31"/>
      <c r="AP65" s="31"/>
      <c r="AR65" s="7"/>
      <c r="AT65" s="32" t="s">
        <v>105</v>
      </c>
      <c r="AU65" s="33"/>
      <c r="AV65" s="32">
        <v>3.0</v>
      </c>
      <c r="AW65" s="92" t="s">
        <v>240</v>
      </c>
      <c r="AX65" s="32" t="s">
        <v>85</v>
      </c>
      <c r="AY65" s="31"/>
      <c r="AZ65" s="31"/>
      <c r="BA65" s="31"/>
      <c r="BC65" s="7"/>
    </row>
    <row r="66">
      <c r="B66" s="15" t="s">
        <v>241</v>
      </c>
      <c r="C66" s="31"/>
      <c r="D66" s="32">
        <v>3.0</v>
      </c>
      <c r="E66" s="92" t="s">
        <v>179</v>
      </c>
      <c r="F66" s="32" t="s">
        <v>85</v>
      </c>
      <c r="G66" s="15">
        <v>42.5</v>
      </c>
      <c r="H66" s="15">
        <v>9.0</v>
      </c>
      <c r="I66" s="31"/>
      <c r="K66" s="7"/>
      <c r="M66" s="15" t="s">
        <v>241</v>
      </c>
      <c r="N66" s="31"/>
      <c r="O66" s="32">
        <v>3.0</v>
      </c>
      <c r="P66" s="92" t="s">
        <v>179</v>
      </c>
      <c r="Q66" s="32" t="s">
        <v>93</v>
      </c>
      <c r="R66" s="15">
        <v>42.5</v>
      </c>
      <c r="S66" s="15"/>
      <c r="T66" s="31"/>
      <c r="V66" s="7"/>
      <c r="X66" s="32" t="s">
        <v>241</v>
      </c>
      <c r="Y66" s="33"/>
      <c r="Z66" s="32">
        <v>3.0</v>
      </c>
      <c r="AA66" s="92" t="s">
        <v>179</v>
      </c>
      <c r="AB66" s="32" t="s">
        <v>92</v>
      </c>
      <c r="AC66" s="33"/>
      <c r="AD66" s="33"/>
      <c r="AE66" s="31"/>
      <c r="AG66" s="7"/>
      <c r="AI66" s="32" t="s">
        <v>241</v>
      </c>
      <c r="AJ66" s="33"/>
      <c r="AK66" s="32">
        <v>3.0</v>
      </c>
      <c r="AL66" s="92" t="s">
        <v>179</v>
      </c>
      <c r="AM66" s="32" t="s">
        <v>72</v>
      </c>
      <c r="AN66" s="31"/>
      <c r="AO66" s="31"/>
      <c r="AP66" s="31"/>
      <c r="AR66" s="7"/>
      <c r="AT66" s="32" t="s">
        <v>241</v>
      </c>
      <c r="AU66" s="33"/>
      <c r="AV66" s="32">
        <v>3.0</v>
      </c>
      <c r="AW66" s="92" t="s">
        <v>179</v>
      </c>
      <c r="AX66" s="32" t="s">
        <v>85</v>
      </c>
      <c r="AY66" s="31"/>
      <c r="AZ66" s="31"/>
      <c r="BA66" s="31"/>
      <c r="BC66" s="7"/>
    </row>
    <row r="67">
      <c r="B67" s="15" t="s">
        <v>181</v>
      </c>
      <c r="C67" s="31"/>
      <c r="D67" s="32">
        <v>3.0</v>
      </c>
      <c r="E67" s="92" t="s">
        <v>179</v>
      </c>
      <c r="F67" s="32" t="s">
        <v>85</v>
      </c>
      <c r="G67" s="15">
        <v>12.0</v>
      </c>
      <c r="H67" s="15">
        <v>8.0</v>
      </c>
      <c r="I67" s="31"/>
      <c r="K67" s="7"/>
      <c r="M67" s="15" t="s">
        <v>181</v>
      </c>
      <c r="N67" s="31"/>
      <c r="O67" s="32">
        <v>3.0</v>
      </c>
      <c r="P67" s="92" t="s">
        <v>179</v>
      </c>
      <c r="Q67" s="32" t="s">
        <v>93</v>
      </c>
      <c r="R67" s="15"/>
      <c r="S67" s="15"/>
      <c r="T67" s="31"/>
      <c r="V67" s="7"/>
      <c r="X67" s="32" t="s">
        <v>181</v>
      </c>
      <c r="Y67" s="33"/>
      <c r="Z67" s="32">
        <v>3.0</v>
      </c>
      <c r="AA67" s="92" t="s">
        <v>179</v>
      </c>
      <c r="AB67" s="32" t="s">
        <v>92</v>
      </c>
      <c r="AC67" s="33"/>
      <c r="AD67" s="33"/>
      <c r="AE67" s="31"/>
      <c r="AG67" s="7"/>
      <c r="AI67" s="32" t="s">
        <v>181</v>
      </c>
      <c r="AJ67" s="33"/>
      <c r="AK67" s="32">
        <v>3.0</v>
      </c>
      <c r="AL67" s="92" t="s">
        <v>179</v>
      </c>
      <c r="AM67" s="32" t="s">
        <v>72</v>
      </c>
      <c r="AN67" s="31"/>
      <c r="AO67" s="31"/>
      <c r="AP67" s="31"/>
      <c r="AR67" s="7"/>
      <c r="AT67" s="32" t="s">
        <v>181</v>
      </c>
      <c r="AU67" s="33"/>
      <c r="AV67" s="32">
        <v>3.0</v>
      </c>
      <c r="AW67" s="92" t="s">
        <v>179</v>
      </c>
      <c r="AX67" s="32" t="s">
        <v>85</v>
      </c>
      <c r="AY67" s="31"/>
      <c r="AZ67" s="31"/>
      <c r="BA67" s="31"/>
      <c r="BC67" s="7"/>
    </row>
    <row r="68">
      <c r="B68" s="15" t="s">
        <v>182</v>
      </c>
      <c r="C68" s="31"/>
      <c r="D68" s="32">
        <v>3.0</v>
      </c>
      <c r="E68" s="92" t="s">
        <v>184</v>
      </c>
      <c r="F68" s="32" t="s">
        <v>183</v>
      </c>
      <c r="G68" s="15"/>
      <c r="H68" s="31"/>
      <c r="I68" s="31"/>
      <c r="K68" s="7"/>
      <c r="M68" s="15" t="s">
        <v>242</v>
      </c>
      <c r="N68" s="31"/>
      <c r="O68" s="32">
        <v>3.0</v>
      </c>
      <c r="P68" s="92" t="s">
        <v>184</v>
      </c>
      <c r="Q68" s="32" t="s">
        <v>183</v>
      </c>
      <c r="R68" s="15"/>
      <c r="S68" s="31"/>
      <c r="T68" s="31"/>
      <c r="V68" s="7"/>
      <c r="X68" s="32" t="s">
        <v>242</v>
      </c>
      <c r="Y68" s="33"/>
      <c r="Z68" s="32">
        <v>3.0</v>
      </c>
      <c r="AA68" s="92" t="s">
        <v>179</v>
      </c>
      <c r="AB68" s="32" t="s">
        <v>183</v>
      </c>
      <c r="AC68" s="33"/>
      <c r="AD68" s="33"/>
      <c r="AE68" s="31"/>
      <c r="AG68" s="7"/>
      <c r="AI68" s="32" t="s">
        <v>242</v>
      </c>
      <c r="AJ68" s="33"/>
      <c r="AK68" s="32">
        <v>3.0</v>
      </c>
      <c r="AL68" s="92" t="s">
        <v>179</v>
      </c>
      <c r="AM68" s="32" t="s">
        <v>183</v>
      </c>
      <c r="AN68" s="31"/>
      <c r="AO68" s="31"/>
      <c r="AP68" s="31"/>
      <c r="AR68" s="7"/>
      <c r="AT68" s="32" t="s">
        <v>242</v>
      </c>
      <c r="AU68" s="33"/>
      <c r="AV68" s="32">
        <v>3.0</v>
      </c>
      <c r="AW68" s="92" t="s">
        <v>179</v>
      </c>
      <c r="AX68" s="32" t="s">
        <v>183</v>
      </c>
      <c r="AY68" s="31"/>
      <c r="AZ68" s="31"/>
      <c r="BA68" s="31"/>
      <c r="BC68" s="7"/>
    </row>
    <row r="69">
      <c r="B69" s="15" t="s">
        <v>187</v>
      </c>
      <c r="C69" s="15"/>
      <c r="D69" s="32">
        <v>3.0</v>
      </c>
      <c r="E69" s="92" t="s">
        <v>142</v>
      </c>
      <c r="F69" s="32" t="s">
        <v>69</v>
      </c>
      <c r="G69" s="15">
        <v>20.0</v>
      </c>
      <c r="H69" s="31"/>
      <c r="I69" s="31"/>
      <c r="K69" s="7"/>
      <c r="M69" s="15" t="s">
        <v>187</v>
      </c>
      <c r="N69" s="15"/>
      <c r="O69" s="32">
        <v>3.0</v>
      </c>
      <c r="P69" s="92" t="s">
        <v>142</v>
      </c>
      <c r="Q69" s="32" t="s">
        <v>93</v>
      </c>
      <c r="R69" s="15"/>
      <c r="S69" s="15"/>
      <c r="T69" s="31"/>
      <c r="V69" s="7"/>
      <c r="X69" s="32" t="s">
        <v>187</v>
      </c>
      <c r="Y69" s="32"/>
      <c r="Z69" s="32">
        <v>3.0</v>
      </c>
      <c r="AA69" s="92" t="s">
        <v>142</v>
      </c>
      <c r="AB69" s="32" t="s">
        <v>92</v>
      </c>
      <c r="AC69" s="33"/>
      <c r="AD69" s="33"/>
      <c r="AE69" s="31"/>
      <c r="AG69" s="7"/>
      <c r="AI69" s="32" t="s">
        <v>187</v>
      </c>
      <c r="AJ69" s="32"/>
      <c r="AK69" s="32">
        <v>3.0</v>
      </c>
      <c r="AL69" s="92" t="s">
        <v>142</v>
      </c>
      <c r="AM69" s="32" t="s">
        <v>72</v>
      </c>
      <c r="AN69" s="31"/>
      <c r="AO69" s="31"/>
      <c r="AP69" s="31"/>
      <c r="AR69" s="7"/>
      <c r="AT69" s="32" t="s">
        <v>187</v>
      </c>
      <c r="AU69" s="32"/>
      <c r="AV69" s="32">
        <v>3.0</v>
      </c>
      <c r="AW69" s="92" t="s">
        <v>142</v>
      </c>
      <c r="AX69" s="32" t="s">
        <v>85</v>
      </c>
      <c r="AY69" s="31"/>
      <c r="AZ69" s="31"/>
      <c r="BA69" s="31"/>
      <c r="BC69" s="7"/>
    </row>
    <row r="70">
      <c r="B70" s="31"/>
      <c r="C70" s="31"/>
      <c r="D70" s="31"/>
      <c r="E70" s="31"/>
      <c r="F70" s="31"/>
      <c r="G70" s="31"/>
      <c r="H70" s="31"/>
      <c r="I70" s="31"/>
      <c r="K70" s="7"/>
      <c r="M70" s="31"/>
      <c r="N70" s="31"/>
      <c r="O70" s="31"/>
      <c r="P70" s="31"/>
      <c r="Q70" s="31"/>
      <c r="R70" s="31"/>
      <c r="S70" s="31"/>
      <c r="T70" s="31"/>
      <c r="V70" s="7"/>
      <c r="X70" s="31"/>
      <c r="Y70" s="31"/>
      <c r="Z70" s="31"/>
      <c r="AA70" s="31"/>
      <c r="AB70" s="31"/>
      <c r="AC70" s="31"/>
      <c r="AD70" s="31"/>
      <c r="AE70" s="31"/>
      <c r="AG70" s="7"/>
      <c r="AI70" s="31"/>
      <c r="AJ70" s="31"/>
      <c r="AK70" s="31"/>
      <c r="AL70" s="31"/>
      <c r="AM70" s="31"/>
      <c r="AN70" s="31"/>
      <c r="AO70" s="31"/>
      <c r="AP70" s="31"/>
      <c r="AR70" s="7"/>
      <c r="AT70" s="31"/>
      <c r="AU70" s="31"/>
      <c r="AV70" s="31"/>
      <c r="AW70" s="31"/>
      <c r="AX70" s="31"/>
      <c r="AY70" s="31"/>
      <c r="AZ70" s="31"/>
      <c r="BA70" s="31"/>
      <c r="BC70" s="7"/>
    </row>
    <row r="71">
      <c r="B71" s="31"/>
      <c r="C71" s="31"/>
      <c r="D71" s="31"/>
      <c r="E71" s="31"/>
      <c r="F71" s="31"/>
      <c r="G71" s="31"/>
      <c r="H71" s="31"/>
      <c r="I71" s="31"/>
      <c r="K71" s="7"/>
      <c r="M71" s="31"/>
      <c r="N71" s="31"/>
      <c r="O71" s="31"/>
      <c r="P71" s="31"/>
      <c r="Q71" s="31"/>
      <c r="R71" s="31"/>
      <c r="S71" s="31"/>
      <c r="T71" s="31"/>
      <c r="V71" s="7"/>
      <c r="X71" s="31"/>
      <c r="Y71" s="31"/>
      <c r="Z71" s="31"/>
      <c r="AA71" s="31"/>
      <c r="AB71" s="31"/>
      <c r="AC71" s="31"/>
      <c r="AD71" s="31"/>
      <c r="AE71" s="31"/>
      <c r="AG71" s="7"/>
      <c r="AI71" s="31"/>
      <c r="AJ71" s="31"/>
      <c r="AK71" s="31"/>
      <c r="AL71" s="31"/>
      <c r="AM71" s="31"/>
      <c r="AN71" s="31"/>
      <c r="AO71" s="31"/>
      <c r="AP71" s="31"/>
      <c r="AR71" s="7"/>
      <c r="AT71" s="31"/>
      <c r="AU71" s="31"/>
      <c r="AV71" s="31"/>
      <c r="AW71" s="31"/>
      <c r="AX71" s="31"/>
      <c r="AY71" s="31"/>
      <c r="AZ71" s="31"/>
      <c r="BA71" s="31"/>
      <c r="BC71" s="7"/>
    </row>
    <row r="72">
      <c r="B72" s="31"/>
      <c r="C72" s="31"/>
      <c r="D72" s="31"/>
      <c r="E72" s="31"/>
      <c r="F72" s="31"/>
      <c r="G72" s="31"/>
      <c r="H72" s="31"/>
      <c r="I72" s="31"/>
      <c r="K72" s="7"/>
      <c r="M72" s="31"/>
      <c r="N72" s="31"/>
      <c r="O72" s="31"/>
      <c r="P72" s="31"/>
      <c r="Q72" s="31"/>
      <c r="R72" s="31"/>
      <c r="S72" s="31"/>
      <c r="T72" s="31"/>
      <c r="V72" s="7"/>
      <c r="X72" s="31"/>
      <c r="Y72" s="31"/>
      <c r="Z72" s="31"/>
      <c r="AA72" s="31"/>
      <c r="AB72" s="31"/>
      <c r="AC72" s="31"/>
      <c r="AD72" s="31"/>
      <c r="AE72" s="31"/>
      <c r="AG72" s="7"/>
      <c r="AI72" s="31"/>
      <c r="AJ72" s="31"/>
      <c r="AK72" s="31"/>
      <c r="AL72" s="31"/>
      <c r="AM72" s="31"/>
      <c r="AN72" s="31"/>
      <c r="AO72" s="31"/>
      <c r="AP72" s="31"/>
      <c r="AR72" s="7"/>
      <c r="AT72" s="31"/>
      <c r="AU72" s="31"/>
      <c r="AV72" s="31"/>
      <c r="AW72" s="31"/>
      <c r="AX72" s="31"/>
      <c r="AY72" s="31"/>
      <c r="AZ72" s="31"/>
      <c r="BA72" s="31"/>
      <c r="BC72" s="7"/>
    </row>
    <row r="73">
      <c r="G73" s="14" t="s">
        <v>108</v>
      </c>
      <c r="H73" s="14" t="s">
        <v>109</v>
      </c>
      <c r="I73" s="14" t="s">
        <v>110</v>
      </c>
      <c r="K73" s="7"/>
      <c r="R73" s="14" t="s">
        <v>108</v>
      </c>
      <c r="S73" s="14" t="s">
        <v>109</v>
      </c>
      <c r="T73" s="14" t="s">
        <v>110</v>
      </c>
      <c r="V73" s="7"/>
      <c r="AC73" s="14" t="s">
        <v>108</v>
      </c>
      <c r="AD73" s="14" t="s">
        <v>109</v>
      </c>
      <c r="AE73" s="14" t="s">
        <v>110</v>
      </c>
      <c r="AG73" s="7"/>
      <c r="AN73" s="14" t="s">
        <v>108</v>
      </c>
      <c r="AO73" s="14" t="s">
        <v>109</v>
      </c>
      <c r="AP73" s="14" t="s">
        <v>110</v>
      </c>
      <c r="AR73" s="7"/>
      <c r="AY73" s="14" t="s">
        <v>108</v>
      </c>
      <c r="AZ73" s="14" t="s">
        <v>109</v>
      </c>
      <c r="BA73" s="14" t="s">
        <v>110</v>
      </c>
      <c r="BC73" s="7"/>
    </row>
    <row r="74">
      <c r="G74" s="15" t="s">
        <v>117</v>
      </c>
      <c r="H74" s="31"/>
      <c r="I74" s="31"/>
      <c r="K74" s="7"/>
      <c r="R74" s="15" t="s">
        <v>117</v>
      </c>
      <c r="S74" s="31"/>
      <c r="T74" s="31"/>
      <c r="V74" s="7"/>
      <c r="AC74" s="15" t="s">
        <v>117</v>
      </c>
      <c r="AD74" s="31"/>
      <c r="AE74" s="31"/>
      <c r="AG74" s="7"/>
      <c r="AN74" s="15" t="s">
        <v>111</v>
      </c>
      <c r="AO74" s="31"/>
      <c r="AP74" s="31"/>
      <c r="AR74" s="7"/>
      <c r="AY74" s="15" t="s">
        <v>111</v>
      </c>
      <c r="AZ74" s="31"/>
      <c r="BA74" s="31"/>
      <c r="BC74" s="7"/>
    </row>
    <row r="75">
      <c r="K75" s="7"/>
      <c r="V75" s="7"/>
      <c r="AG75" s="7"/>
      <c r="AR75" s="7"/>
      <c r="BC75" s="7"/>
    </row>
    <row r="76">
      <c r="K76" s="7"/>
      <c r="V76" s="7"/>
      <c r="AG76" s="7"/>
      <c r="AR76" s="7"/>
      <c r="BC76" s="7"/>
    </row>
    <row r="77">
      <c r="B77" s="58" t="s">
        <v>189</v>
      </c>
      <c r="C77" s="60" t="s">
        <v>190</v>
      </c>
      <c r="D77" s="60" t="s">
        <v>191</v>
      </c>
      <c r="E77" s="60" t="s">
        <v>192</v>
      </c>
      <c r="F77" s="60" t="s">
        <v>194</v>
      </c>
      <c r="G77" s="60" t="s">
        <v>195</v>
      </c>
      <c r="K77" s="7"/>
      <c r="M77" s="58" t="s">
        <v>189</v>
      </c>
      <c r="N77" s="60" t="s">
        <v>190</v>
      </c>
      <c r="O77" s="60" t="s">
        <v>191</v>
      </c>
      <c r="P77" s="60" t="s">
        <v>192</v>
      </c>
      <c r="Q77" s="60" t="s">
        <v>194</v>
      </c>
      <c r="R77" s="60" t="s">
        <v>195</v>
      </c>
      <c r="V77" s="7"/>
      <c r="X77" s="58" t="s">
        <v>189</v>
      </c>
      <c r="Y77" s="60" t="s">
        <v>190</v>
      </c>
      <c r="Z77" s="60" t="s">
        <v>191</v>
      </c>
      <c r="AA77" s="60" t="s">
        <v>192</v>
      </c>
      <c r="AB77" s="60" t="s">
        <v>194</v>
      </c>
      <c r="AC77" s="60" t="s">
        <v>195</v>
      </c>
      <c r="AG77" s="7"/>
      <c r="AI77" s="58" t="s">
        <v>189</v>
      </c>
      <c r="AJ77" s="60" t="s">
        <v>190</v>
      </c>
      <c r="AK77" s="60" t="s">
        <v>191</v>
      </c>
      <c r="AL77" s="60" t="s">
        <v>192</v>
      </c>
      <c r="AM77" s="60" t="s">
        <v>194</v>
      </c>
      <c r="AN77" s="60" t="s">
        <v>195</v>
      </c>
      <c r="AR77" s="7"/>
      <c r="AT77" s="58" t="s">
        <v>189</v>
      </c>
      <c r="AU77" s="60" t="s">
        <v>190</v>
      </c>
      <c r="AV77" s="60" t="s">
        <v>191</v>
      </c>
      <c r="AW77" s="60" t="s">
        <v>192</v>
      </c>
      <c r="AX77" s="60" t="s">
        <v>194</v>
      </c>
      <c r="AY77" s="60" t="s">
        <v>195</v>
      </c>
      <c r="BC77" s="7"/>
    </row>
    <row r="78">
      <c r="C78" s="18" t="s">
        <v>243</v>
      </c>
      <c r="D78" s="18" t="s">
        <v>210</v>
      </c>
      <c r="E78" s="18" t="s">
        <v>243</v>
      </c>
      <c r="F78" s="18" t="s">
        <v>243</v>
      </c>
      <c r="G78" s="18">
        <v>4.0</v>
      </c>
      <c r="K78" s="7"/>
      <c r="N78" s="18" t="s">
        <v>207</v>
      </c>
      <c r="O78" s="18" t="s">
        <v>207</v>
      </c>
      <c r="P78" s="18" t="s">
        <v>208</v>
      </c>
      <c r="Q78" s="18" t="s">
        <v>207</v>
      </c>
      <c r="R78" s="18">
        <v>4.0</v>
      </c>
      <c r="V78" s="7"/>
      <c r="Y78" s="18" t="s">
        <v>207</v>
      </c>
      <c r="Z78" s="18" t="s">
        <v>207</v>
      </c>
      <c r="AA78" s="18" t="s">
        <v>207</v>
      </c>
      <c r="AB78" s="18" t="s">
        <v>208</v>
      </c>
      <c r="AC78" s="18">
        <v>3.0</v>
      </c>
      <c r="AG78" s="7"/>
      <c r="AJ78" s="24"/>
      <c r="AK78" s="24"/>
      <c r="AL78" s="24"/>
      <c r="AM78" s="24"/>
      <c r="AN78" s="24"/>
      <c r="AR78" s="7"/>
      <c r="AU78" s="24"/>
      <c r="AV78" s="24"/>
      <c r="AW78" s="24"/>
      <c r="AX78" s="24"/>
      <c r="AY78" s="24"/>
      <c r="BC78" s="7"/>
    </row>
    <row r="79">
      <c r="B79" s="60" t="s">
        <v>215</v>
      </c>
      <c r="C79" s="77" t="s">
        <v>244</v>
      </c>
      <c r="K79" s="7"/>
      <c r="M79" s="60" t="s">
        <v>215</v>
      </c>
      <c r="N79" s="77" t="s">
        <v>245</v>
      </c>
      <c r="V79" s="7"/>
      <c r="X79" s="60" t="s">
        <v>215</v>
      </c>
      <c r="Y79" s="77" t="s">
        <v>246</v>
      </c>
      <c r="AG79" s="7"/>
      <c r="AI79" s="60" t="s">
        <v>215</v>
      </c>
      <c r="AJ79" s="76"/>
      <c r="AR79" s="7"/>
      <c r="AT79" s="60" t="s">
        <v>215</v>
      </c>
      <c r="AU79" s="76"/>
      <c r="BC79" s="7"/>
    </row>
    <row r="80">
      <c r="K80" s="7"/>
      <c r="V80" s="7"/>
      <c r="AG80" s="7"/>
      <c r="AR80" s="7"/>
      <c r="BC80" s="7"/>
    </row>
    <row r="81">
      <c r="K81" s="7"/>
      <c r="V81" s="7"/>
      <c r="AG81" s="7"/>
      <c r="AR81" s="7"/>
      <c r="BC81" s="7"/>
    </row>
    <row r="82">
      <c r="K82" s="7"/>
      <c r="V82" s="7"/>
      <c r="AG82" s="7"/>
      <c r="AR82" s="7"/>
      <c r="BC82" s="7"/>
    </row>
    <row r="83">
      <c r="K83" s="7"/>
      <c r="M83" s="78"/>
      <c r="V83" s="7"/>
      <c r="AG83" s="7"/>
      <c r="AR83" s="7"/>
      <c r="BC83" s="7"/>
    </row>
    <row r="84">
      <c r="K84" s="7"/>
      <c r="V84" s="7"/>
      <c r="AG84" s="7"/>
      <c r="AR84" s="7"/>
      <c r="BC84" s="7"/>
    </row>
    <row r="85">
      <c r="K85" s="7"/>
      <c r="V85" s="7"/>
      <c r="AG85" s="7"/>
      <c r="AR85" s="7"/>
      <c r="BC85" s="7"/>
    </row>
    <row r="86">
      <c r="K86" s="7"/>
      <c r="V86" s="7"/>
      <c r="AG86" s="7"/>
      <c r="AR86" s="7"/>
      <c r="BC86" s="7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25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25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25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25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25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>
      <c r="K88" s="7"/>
      <c r="V88" s="7"/>
      <c r="AG88" s="7"/>
      <c r="AR88" s="7"/>
      <c r="BC88" s="7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>
      <c r="K89" s="7"/>
      <c r="V89" s="7"/>
      <c r="AG89" s="7"/>
      <c r="AR89" s="7"/>
      <c r="BC89" s="7"/>
    </row>
    <row r="90">
      <c r="D90" s="23"/>
      <c r="E90" s="82" t="s">
        <v>229</v>
      </c>
      <c r="F90" s="23"/>
      <c r="G90" s="82" t="s">
        <v>230</v>
      </c>
      <c r="H90" s="82" t="s">
        <v>231</v>
      </c>
      <c r="K90" s="7"/>
      <c r="V90" s="7"/>
      <c r="AG90" s="7"/>
      <c r="AR90" s="7"/>
      <c r="BC90" s="7"/>
    </row>
    <row r="91">
      <c r="D91" s="84"/>
      <c r="E91" s="85"/>
      <c r="F91" s="23"/>
      <c r="G91" s="86"/>
      <c r="H91" s="87"/>
      <c r="K91" s="7"/>
      <c r="V91" s="7"/>
      <c r="AG91" s="7"/>
      <c r="AR91" s="7"/>
      <c r="BC91" s="7"/>
    </row>
    <row r="92">
      <c r="D92" s="84"/>
      <c r="E92" s="85"/>
      <c r="F92" s="23"/>
      <c r="G92" s="86"/>
      <c r="H92" s="87"/>
      <c r="K92" s="7"/>
      <c r="V92" s="7"/>
      <c r="AG92" s="7"/>
      <c r="AR92" s="7"/>
      <c r="BC92" s="7"/>
    </row>
    <row r="93">
      <c r="D93" s="84"/>
      <c r="E93" s="85"/>
      <c r="F93" s="23"/>
      <c r="G93" s="86"/>
      <c r="H93" s="87"/>
      <c r="K93" s="7"/>
      <c r="V93" s="7"/>
      <c r="AG93" s="7"/>
      <c r="AR93" s="7"/>
      <c r="BC93" s="7"/>
    </row>
    <row r="94">
      <c r="D94" s="84"/>
      <c r="E94" s="85"/>
      <c r="F94" s="23"/>
      <c r="G94" s="23"/>
      <c r="H94" s="23"/>
      <c r="K94" s="7"/>
      <c r="V94" s="7"/>
      <c r="AG94" s="7"/>
      <c r="AR94" s="7"/>
      <c r="BC94" s="7"/>
    </row>
    <row r="95">
      <c r="K95" s="7"/>
      <c r="V95" s="7"/>
      <c r="AG95" s="7"/>
      <c r="AR95" s="7"/>
      <c r="BC95" s="7"/>
    </row>
    <row r="96">
      <c r="K96" s="7"/>
      <c r="V96" s="7"/>
      <c r="AG96" s="7"/>
      <c r="AR96" s="7"/>
      <c r="BC96" s="7"/>
    </row>
    <row r="97">
      <c r="K97" s="7"/>
      <c r="V97" s="7"/>
      <c r="AG97" s="7"/>
      <c r="AR97" s="7"/>
      <c r="BC97" s="7"/>
    </row>
    <row r="98">
      <c r="K98" s="7"/>
      <c r="V98" s="7"/>
      <c r="AG98" s="7"/>
      <c r="AR98" s="7"/>
      <c r="BC98" s="7"/>
    </row>
    <row r="99">
      <c r="K99" s="7"/>
      <c r="V99" s="7"/>
      <c r="AG99" s="7"/>
      <c r="AR99" s="7"/>
      <c r="BC99" s="7"/>
    </row>
    <row r="100">
      <c r="K100" s="7"/>
      <c r="V100" s="7"/>
      <c r="AG100" s="7"/>
      <c r="AR100" s="7"/>
      <c r="BC100" s="7"/>
    </row>
    <row r="101">
      <c r="K101" s="7"/>
      <c r="V101" s="7"/>
      <c r="AG101" s="7"/>
      <c r="AR101" s="7"/>
      <c r="BC101" s="7"/>
    </row>
    <row r="102">
      <c r="K102" s="7"/>
      <c r="V102" s="7"/>
      <c r="AG102" s="7"/>
      <c r="AR102" s="7"/>
      <c r="BC102" s="7"/>
    </row>
    <row r="103">
      <c r="K103" s="7"/>
      <c r="V103" s="7"/>
      <c r="AG103" s="7"/>
      <c r="AR103" s="7"/>
      <c r="BC103" s="7"/>
    </row>
    <row r="104">
      <c r="K104" s="7"/>
      <c r="V104" s="7"/>
      <c r="AG104" s="7"/>
      <c r="AR104" s="7"/>
      <c r="BC104" s="7"/>
    </row>
    <row r="105">
      <c r="K105" s="7"/>
      <c r="V105" s="7"/>
      <c r="AG105" s="7"/>
      <c r="AR105" s="7"/>
      <c r="BC105" s="7"/>
    </row>
    <row r="106">
      <c r="K106" s="7"/>
      <c r="V106" s="7"/>
      <c r="AG106" s="7"/>
      <c r="AR106" s="7"/>
      <c r="BC106" s="7"/>
    </row>
    <row r="107">
      <c r="K107" s="7"/>
      <c r="V107" s="7"/>
      <c r="AG107" s="7"/>
      <c r="AR107" s="7"/>
      <c r="BC107" s="7"/>
    </row>
    <row r="108">
      <c r="K108" s="7"/>
      <c r="V108" s="7"/>
      <c r="AG108" s="7"/>
      <c r="AR108" s="7"/>
      <c r="BC108" s="7"/>
    </row>
    <row r="109">
      <c r="K109" s="7"/>
      <c r="V109" s="7"/>
      <c r="AG109" s="7"/>
      <c r="AR109" s="7"/>
      <c r="BC109" s="7"/>
    </row>
    <row r="110">
      <c r="K110" s="7"/>
      <c r="V110" s="7"/>
      <c r="AG110" s="7"/>
      <c r="AR110" s="7"/>
      <c r="BC110" s="7"/>
    </row>
    <row r="111">
      <c r="K111" s="7"/>
      <c r="V111" s="7"/>
      <c r="AG111" s="7"/>
      <c r="AR111" s="7"/>
      <c r="BC111" s="7"/>
    </row>
    <row r="112">
      <c r="K112" s="7"/>
      <c r="V112" s="7"/>
      <c r="AG112" s="7"/>
      <c r="AR112" s="7"/>
      <c r="BC112" s="7"/>
    </row>
    <row r="113">
      <c r="K113" s="7"/>
      <c r="V113" s="7"/>
      <c r="AG113" s="7"/>
      <c r="AR113" s="7"/>
      <c r="BC113" s="7"/>
    </row>
    <row r="114">
      <c r="K114" s="7"/>
      <c r="V114" s="7"/>
      <c r="AG114" s="7"/>
      <c r="AR114" s="7"/>
      <c r="BC114" s="7"/>
    </row>
    <row r="115">
      <c r="K115" s="7"/>
      <c r="V115" s="7"/>
      <c r="AG115" s="7"/>
      <c r="AR115" s="7"/>
      <c r="BC115" s="7"/>
    </row>
    <row r="116">
      <c r="K116" s="7"/>
      <c r="V116" s="7"/>
      <c r="AG116" s="7"/>
      <c r="AR116" s="7"/>
      <c r="BC116" s="7"/>
    </row>
    <row r="117">
      <c r="K117" s="7"/>
      <c r="V117" s="7"/>
      <c r="AG117" s="7"/>
      <c r="AR117" s="7"/>
      <c r="BC117" s="7"/>
    </row>
    <row r="118">
      <c r="K118" s="7"/>
      <c r="V118" s="7"/>
      <c r="AG118" s="7"/>
      <c r="AR118" s="7"/>
      <c r="BC118" s="7"/>
    </row>
    <row r="119">
      <c r="K119" s="7"/>
      <c r="V119" s="7"/>
      <c r="AG119" s="7"/>
      <c r="AR119" s="7"/>
      <c r="BC119" s="7"/>
    </row>
    <row r="120">
      <c r="K120" s="7"/>
      <c r="V120" s="7"/>
      <c r="AG120" s="7"/>
      <c r="AR120" s="7"/>
      <c r="BC120" s="7"/>
    </row>
    <row r="121">
      <c r="K121" s="7"/>
      <c r="V121" s="7"/>
      <c r="AG121" s="7"/>
      <c r="AR121" s="7"/>
      <c r="BC121" s="7"/>
    </row>
    <row r="122">
      <c r="K122" s="7"/>
      <c r="V122" s="7"/>
      <c r="AG122" s="7"/>
      <c r="AR122" s="7"/>
      <c r="BC122" s="7"/>
    </row>
    <row r="123">
      <c r="K123" s="7"/>
      <c r="V123" s="7"/>
      <c r="AG123" s="7"/>
      <c r="AR123" s="7"/>
      <c r="BC123" s="7"/>
    </row>
    <row r="124">
      <c r="K124" s="7"/>
      <c r="V124" s="7"/>
      <c r="AG124" s="7"/>
      <c r="AR124" s="7"/>
      <c r="BC124" s="7"/>
    </row>
    <row r="125">
      <c r="K125" s="7"/>
      <c r="V125" s="7"/>
      <c r="AG125" s="7"/>
      <c r="AR125" s="7"/>
    </row>
    <row r="126">
      <c r="K126" s="7"/>
      <c r="V126" s="7"/>
      <c r="AG126" s="7"/>
      <c r="AR126" s="7"/>
    </row>
    <row r="127">
      <c r="K127" s="7"/>
      <c r="V127" s="7"/>
      <c r="AG127" s="7"/>
      <c r="AR127" s="7"/>
    </row>
    <row r="128">
      <c r="K128" s="7"/>
      <c r="V128" s="7"/>
      <c r="AG128" s="7"/>
      <c r="AR128" s="7"/>
    </row>
    <row r="129">
      <c r="K129" s="7"/>
      <c r="V129" s="7"/>
      <c r="AG129" s="7"/>
      <c r="AR129" s="7"/>
    </row>
    <row r="130">
      <c r="K130" s="7"/>
      <c r="V130" s="7"/>
      <c r="AG130" s="7"/>
      <c r="AR130" s="7"/>
    </row>
    <row r="131">
      <c r="K131" s="7"/>
      <c r="V131" s="7"/>
      <c r="AG131" s="7"/>
      <c r="AR131" s="7"/>
    </row>
    <row r="132">
      <c r="K132" s="7"/>
      <c r="V132" s="7"/>
      <c r="AG132" s="7"/>
      <c r="AR132" s="7"/>
    </row>
    <row r="133">
      <c r="K133" s="7"/>
      <c r="V133" s="7"/>
      <c r="AG133" s="7"/>
      <c r="AR133" s="7"/>
    </row>
    <row r="134">
      <c r="K134" s="7"/>
      <c r="V134" s="7"/>
      <c r="AG134" s="7"/>
      <c r="AR134" s="7"/>
    </row>
    <row r="135">
      <c r="K135" s="7"/>
      <c r="V135" s="7"/>
      <c r="AG135" s="7"/>
      <c r="AR135" s="7"/>
    </row>
    <row r="136">
      <c r="K136" s="7"/>
      <c r="V136" s="7"/>
      <c r="AG136" s="7"/>
      <c r="AR136" s="7"/>
    </row>
    <row r="137">
      <c r="K137" s="7"/>
      <c r="V137" s="7"/>
      <c r="AG137" s="7"/>
      <c r="AR137" s="7"/>
    </row>
    <row r="138">
      <c r="K138" s="7"/>
      <c r="V138" s="7"/>
      <c r="AG138" s="7"/>
      <c r="AR138" s="7"/>
    </row>
    <row r="139">
      <c r="K139" s="7"/>
      <c r="V139" s="7"/>
      <c r="AG139" s="7"/>
      <c r="AR139" s="7"/>
    </row>
    <row r="140">
      <c r="K140" s="7"/>
      <c r="V140" s="7"/>
      <c r="AG140" s="7"/>
      <c r="AR140" s="7"/>
    </row>
    <row r="141">
      <c r="K141" s="7"/>
      <c r="V141" s="7"/>
      <c r="AG141" s="7"/>
      <c r="AR141" s="7"/>
    </row>
    <row r="142">
      <c r="K142" s="7"/>
      <c r="V142" s="7"/>
      <c r="AG142" s="7"/>
      <c r="AR142" s="7"/>
    </row>
    <row r="143">
      <c r="K143" s="7"/>
      <c r="V143" s="7"/>
      <c r="AG143" s="7"/>
      <c r="AR143" s="7"/>
    </row>
    <row r="144">
      <c r="K144" s="7"/>
      <c r="V144" s="7"/>
      <c r="AG144" s="7"/>
      <c r="AR144" s="7"/>
    </row>
    <row r="145">
      <c r="K145" s="7"/>
      <c r="V145" s="7"/>
      <c r="AG145" s="7"/>
      <c r="AR145" s="7"/>
    </row>
    <row r="146">
      <c r="K146" s="7"/>
      <c r="V146" s="7"/>
      <c r="AG146" s="7"/>
      <c r="AR146" s="7"/>
    </row>
    <row r="147">
      <c r="K147" s="7"/>
      <c r="V147" s="7"/>
      <c r="AG147" s="7"/>
      <c r="AR147" s="7"/>
    </row>
    <row r="148">
      <c r="K148" s="7"/>
      <c r="V148" s="7"/>
      <c r="AG148" s="7"/>
      <c r="AR148" s="7"/>
    </row>
    <row r="149">
      <c r="K149" s="7"/>
      <c r="V149" s="7"/>
      <c r="AG149" s="7"/>
      <c r="AR149" s="7"/>
    </row>
    <row r="150">
      <c r="K150" s="7"/>
      <c r="V150" s="7"/>
      <c r="AG150" s="7"/>
      <c r="AR150" s="7"/>
    </row>
    <row r="151">
      <c r="K151" s="7"/>
      <c r="V151" s="7"/>
      <c r="AG151" s="7"/>
      <c r="AR151" s="7"/>
    </row>
    <row r="152">
      <c r="K152" s="7"/>
      <c r="V152" s="7"/>
      <c r="AG152" s="7"/>
      <c r="AR152" s="7"/>
    </row>
    <row r="153">
      <c r="K153" s="7"/>
      <c r="V153" s="7"/>
      <c r="AG153" s="7"/>
      <c r="AR153" s="7"/>
    </row>
    <row r="154">
      <c r="K154" s="7"/>
      <c r="V154" s="7"/>
      <c r="AG154" s="7"/>
      <c r="AR154" s="7"/>
    </row>
    <row r="155">
      <c r="K155" s="7"/>
      <c r="V155" s="7"/>
      <c r="AG155" s="7"/>
      <c r="AR155" s="7"/>
    </row>
    <row r="156">
      <c r="K156" s="7"/>
      <c r="V156" s="7"/>
      <c r="AG156" s="7"/>
      <c r="AR156" s="7"/>
    </row>
    <row r="157">
      <c r="K157" s="7"/>
      <c r="V157" s="7"/>
      <c r="AG157" s="7"/>
      <c r="AR157" s="7"/>
    </row>
    <row r="158">
      <c r="K158" s="7"/>
      <c r="V158" s="7"/>
      <c r="AG158" s="7"/>
      <c r="AR158" s="7"/>
    </row>
    <row r="159">
      <c r="K159" s="7"/>
      <c r="V159" s="7"/>
      <c r="AG159" s="7"/>
      <c r="AR159" s="7"/>
    </row>
    <row r="160">
      <c r="K160" s="7"/>
      <c r="V160" s="7"/>
      <c r="AG160" s="7"/>
      <c r="AR160" s="7"/>
    </row>
    <row r="161">
      <c r="K161" s="7"/>
      <c r="V161" s="7"/>
      <c r="AG161" s="7"/>
      <c r="AR161" s="7"/>
    </row>
    <row r="162">
      <c r="K162" s="7"/>
      <c r="V162" s="7"/>
      <c r="AG162" s="7"/>
      <c r="AR162" s="7"/>
    </row>
    <row r="163">
      <c r="K163" s="7"/>
      <c r="V163" s="7"/>
      <c r="AG163" s="7"/>
      <c r="AR163" s="7"/>
    </row>
    <row r="164">
      <c r="K164" s="7"/>
      <c r="V164" s="7"/>
      <c r="AG164" s="7"/>
      <c r="AR164" s="7"/>
    </row>
    <row r="165">
      <c r="K165" s="7"/>
      <c r="V165" s="7"/>
      <c r="AG165" s="7"/>
      <c r="AR165" s="7"/>
    </row>
    <row r="166">
      <c r="K166" s="7"/>
      <c r="V166" s="7"/>
      <c r="AG166" s="7"/>
      <c r="AR166" s="7"/>
    </row>
    <row r="167">
      <c r="K167" s="7"/>
      <c r="V167" s="7"/>
      <c r="AG167" s="7"/>
      <c r="AR167" s="7"/>
    </row>
    <row r="168">
      <c r="K168" s="7"/>
      <c r="V168" s="7"/>
      <c r="AG168" s="7"/>
      <c r="AR168" s="7"/>
    </row>
    <row r="169">
      <c r="K169" s="7"/>
      <c r="V169" s="7"/>
      <c r="AG169" s="7"/>
      <c r="AR169" s="7"/>
    </row>
    <row r="170">
      <c r="K170" s="7"/>
      <c r="V170" s="7"/>
      <c r="AG170" s="7"/>
      <c r="AR170" s="7"/>
    </row>
    <row r="171">
      <c r="K171" s="7"/>
      <c r="V171" s="7"/>
      <c r="AG171" s="7"/>
      <c r="AR171" s="7"/>
    </row>
    <row r="172">
      <c r="K172" s="7"/>
      <c r="V172" s="7"/>
      <c r="AG172" s="7"/>
      <c r="AR172" s="7"/>
    </row>
    <row r="173">
      <c r="K173" s="7"/>
      <c r="V173" s="7"/>
      <c r="AG173" s="7"/>
      <c r="AR173" s="7"/>
    </row>
    <row r="174">
      <c r="K174" s="7"/>
      <c r="V174" s="7"/>
      <c r="AG174" s="7"/>
      <c r="AR174" s="7"/>
    </row>
    <row r="175">
      <c r="K175" s="7"/>
      <c r="V175" s="7"/>
      <c r="AG175" s="7"/>
      <c r="AR175" s="7"/>
    </row>
    <row r="176">
      <c r="K176" s="7"/>
      <c r="V176" s="7"/>
      <c r="AG176" s="7"/>
      <c r="AR176" s="7"/>
    </row>
    <row r="177">
      <c r="K177" s="7"/>
      <c r="V177" s="7"/>
      <c r="AG177" s="7"/>
      <c r="AR177" s="7"/>
    </row>
    <row r="178">
      <c r="K178" s="7"/>
      <c r="V178" s="7"/>
      <c r="AG178" s="7"/>
      <c r="AR178" s="7"/>
    </row>
    <row r="179">
      <c r="K179" s="7"/>
      <c r="V179" s="7"/>
      <c r="AG179" s="7"/>
      <c r="AR179" s="7"/>
    </row>
    <row r="180">
      <c r="K180" s="7"/>
      <c r="V180" s="7"/>
      <c r="AG180" s="7"/>
      <c r="AR180" s="7"/>
    </row>
    <row r="181">
      <c r="K181" s="7"/>
      <c r="V181" s="7"/>
      <c r="AG181" s="7"/>
      <c r="AR181" s="7"/>
    </row>
    <row r="182">
      <c r="K182" s="7"/>
      <c r="V182" s="7"/>
      <c r="AG182" s="7"/>
      <c r="AR182" s="7"/>
    </row>
    <row r="183">
      <c r="K183" s="7"/>
      <c r="V183" s="7"/>
      <c r="AG183" s="7"/>
      <c r="AR183" s="7"/>
    </row>
    <row r="184">
      <c r="K184" s="7"/>
      <c r="V184" s="7"/>
      <c r="AG184" s="7"/>
      <c r="AR184" s="7"/>
    </row>
    <row r="185">
      <c r="K185" s="7"/>
      <c r="V185" s="7"/>
      <c r="AG185" s="7"/>
      <c r="AR185" s="7"/>
    </row>
    <row r="186">
      <c r="K186" s="7"/>
      <c r="V186" s="7"/>
      <c r="AG186" s="7"/>
      <c r="AR186" s="7"/>
    </row>
    <row r="187">
      <c r="K187" s="7"/>
      <c r="V187" s="7"/>
      <c r="AG187" s="7"/>
      <c r="AR187" s="7"/>
    </row>
    <row r="188">
      <c r="K188" s="7"/>
      <c r="V188" s="7"/>
      <c r="AG188" s="7"/>
      <c r="AR188" s="7"/>
    </row>
    <row r="189">
      <c r="K189" s="7"/>
      <c r="V189" s="7"/>
      <c r="AG189" s="7"/>
      <c r="AR189" s="7"/>
    </row>
    <row r="190">
      <c r="K190" s="7"/>
      <c r="V190" s="7"/>
      <c r="AG190" s="7"/>
      <c r="AR190" s="7"/>
    </row>
    <row r="191">
      <c r="K191" s="7"/>
      <c r="V191" s="7"/>
      <c r="AG191" s="7"/>
      <c r="AR191" s="7"/>
    </row>
    <row r="192">
      <c r="K192" s="7"/>
      <c r="V192" s="7"/>
      <c r="AG192" s="7"/>
      <c r="AR192" s="7"/>
    </row>
    <row r="193">
      <c r="K193" s="7"/>
      <c r="V193" s="7"/>
      <c r="AG193" s="7"/>
      <c r="AR193" s="7"/>
    </row>
    <row r="194">
      <c r="K194" s="7"/>
      <c r="V194" s="7"/>
      <c r="AG194" s="7"/>
      <c r="AR194" s="7"/>
    </row>
    <row r="195">
      <c r="K195" s="7"/>
      <c r="V195" s="7"/>
      <c r="AG195" s="7"/>
      <c r="AR195" s="7"/>
    </row>
    <row r="196">
      <c r="K196" s="7"/>
      <c r="V196" s="7"/>
      <c r="AG196" s="7"/>
      <c r="AR196" s="7"/>
    </row>
    <row r="197">
      <c r="K197" s="7"/>
      <c r="V197" s="7"/>
      <c r="AG197" s="7"/>
      <c r="AR197" s="7"/>
    </row>
    <row r="198">
      <c r="K198" s="7"/>
      <c r="V198" s="7"/>
      <c r="AG198" s="7"/>
      <c r="AR198" s="7"/>
    </row>
    <row r="199">
      <c r="K199" s="7"/>
      <c r="V199" s="7"/>
      <c r="AG199" s="7"/>
      <c r="AR199" s="7"/>
    </row>
    <row r="200">
      <c r="K200" s="7"/>
      <c r="V200" s="7"/>
      <c r="AG200" s="7"/>
      <c r="AR200" s="7"/>
    </row>
    <row r="201">
      <c r="K201" s="7"/>
      <c r="V201" s="7"/>
      <c r="AG201" s="7"/>
      <c r="AR201" s="7"/>
    </row>
    <row r="202">
      <c r="K202" s="7"/>
      <c r="V202" s="7"/>
      <c r="AG202" s="7"/>
      <c r="AR202" s="7"/>
    </row>
    <row r="203">
      <c r="K203" s="7"/>
      <c r="V203" s="7"/>
      <c r="AG203" s="7"/>
      <c r="AR203" s="7"/>
    </row>
    <row r="204">
      <c r="K204" s="7"/>
      <c r="V204" s="7"/>
      <c r="AG204" s="7"/>
      <c r="AR204" s="7"/>
    </row>
    <row r="205">
      <c r="K205" s="7"/>
      <c r="V205" s="7"/>
      <c r="AG205" s="7"/>
      <c r="AR205" s="7"/>
    </row>
    <row r="206">
      <c r="K206" s="7"/>
      <c r="V206" s="7"/>
      <c r="AG206" s="7"/>
      <c r="AR206" s="7"/>
    </row>
    <row r="207">
      <c r="K207" s="7"/>
      <c r="V207" s="7"/>
      <c r="AG207" s="7"/>
      <c r="AR207" s="7"/>
    </row>
    <row r="208">
      <c r="K208" s="7"/>
      <c r="V208" s="7"/>
      <c r="AG208" s="7"/>
      <c r="AR208" s="7"/>
    </row>
    <row r="209">
      <c r="K209" s="7"/>
      <c r="V209" s="7"/>
      <c r="AG209" s="7"/>
      <c r="AR209" s="7"/>
    </row>
    <row r="210">
      <c r="K210" s="7"/>
      <c r="V210" s="7"/>
      <c r="AG210" s="7"/>
      <c r="AR210" s="7"/>
    </row>
    <row r="211">
      <c r="K211" s="7"/>
      <c r="V211" s="7"/>
      <c r="AG211" s="7"/>
      <c r="AR211" s="7"/>
    </row>
    <row r="212">
      <c r="K212" s="7"/>
      <c r="V212" s="7"/>
      <c r="AG212" s="7"/>
      <c r="AR212" s="7"/>
    </row>
    <row r="213">
      <c r="K213" s="7"/>
      <c r="V213" s="7"/>
      <c r="AG213" s="7"/>
      <c r="AR213" s="7"/>
    </row>
    <row r="214">
      <c r="K214" s="7"/>
      <c r="V214" s="7"/>
      <c r="AG214" s="7"/>
      <c r="AR214" s="7"/>
    </row>
    <row r="215">
      <c r="K215" s="7"/>
      <c r="V215" s="7"/>
      <c r="AG215" s="7"/>
      <c r="AR215" s="7"/>
    </row>
    <row r="216">
      <c r="K216" s="7"/>
      <c r="V216" s="7"/>
      <c r="AG216" s="7"/>
      <c r="AR216" s="7"/>
    </row>
    <row r="217">
      <c r="K217" s="7"/>
      <c r="V217" s="7"/>
      <c r="AG217" s="7"/>
      <c r="AR217" s="7"/>
    </row>
    <row r="218">
      <c r="K218" s="7"/>
      <c r="V218" s="7"/>
      <c r="AG218" s="7"/>
      <c r="AR218" s="7"/>
    </row>
    <row r="219">
      <c r="K219" s="7"/>
      <c r="V219" s="7"/>
      <c r="AG219" s="7"/>
      <c r="AR219" s="7"/>
    </row>
    <row r="220">
      <c r="K220" s="7"/>
      <c r="V220" s="7"/>
      <c r="AG220" s="7"/>
      <c r="AR220" s="7"/>
    </row>
    <row r="221">
      <c r="K221" s="7"/>
      <c r="V221" s="7"/>
      <c r="AG221" s="7"/>
      <c r="AR221" s="7"/>
    </row>
    <row r="222">
      <c r="K222" s="7"/>
      <c r="V222" s="7"/>
      <c r="AG222" s="7"/>
      <c r="AR222" s="7"/>
    </row>
    <row r="223">
      <c r="K223" s="7"/>
      <c r="V223" s="7"/>
      <c r="AG223" s="7"/>
      <c r="AR223" s="7"/>
    </row>
    <row r="224">
      <c r="K224" s="7"/>
      <c r="V224" s="7"/>
      <c r="AG224" s="7"/>
      <c r="AR224" s="7"/>
    </row>
    <row r="225">
      <c r="K225" s="7"/>
      <c r="V225" s="7"/>
      <c r="AG225" s="7"/>
      <c r="AR225" s="7"/>
    </row>
    <row r="226">
      <c r="K226" s="7"/>
      <c r="V226" s="7"/>
      <c r="AG226" s="7"/>
      <c r="AR226" s="7"/>
    </row>
    <row r="227">
      <c r="K227" s="7"/>
      <c r="V227" s="7"/>
      <c r="AG227" s="7"/>
      <c r="AR227" s="7"/>
    </row>
    <row r="228">
      <c r="K228" s="7"/>
      <c r="V228" s="7"/>
      <c r="AG228" s="7"/>
      <c r="AR228" s="7"/>
    </row>
    <row r="229">
      <c r="K229" s="7"/>
      <c r="V229" s="7"/>
      <c r="AG229" s="7"/>
      <c r="AR229" s="7"/>
    </row>
    <row r="230">
      <c r="K230" s="7"/>
      <c r="V230" s="7"/>
      <c r="AG230" s="7"/>
      <c r="AR230" s="7"/>
    </row>
    <row r="231">
      <c r="K231" s="7"/>
      <c r="V231" s="7"/>
      <c r="AG231" s="7"/>
      <c r="AR231" s="7"/>
    </row>
    <row r="232">
      <c r="K232" s="7"/>
      <c r="V232" s="7"/>
      <c r="AG232" s="7"/>
      <c r="AR232" s="7"/>
    </row>
    <row r="233">
      <c r="K233" s="7"/>
      <c r="V233" s="7"/>
      <c r="AG233" s="7"/>
      <c r="AR233" s="7"/>
    </row>
    <row r="234">
      <c r="K234" s="7"/>
      <c r="V234" s="7"/>
      <c r="AG234" s="7"/>
      <c r="AR234" s="7"/>
    </row>
    <row r="235">
      <c r="K235" s="7"/>
      <c r="V235" s="7"/>
      <c r="AG235" s="7"/>
      <c r="AR235" s="7"/>
    </row>
    <row r="236">
      <c r="K236" s="7"/>
      <c r="V236" s="7"/>
      <c r="AG236" s="7"/>
      <c r="AR236" s="7"/>
    </row>
    <row r="237">
      <c r="K237" s="7"/>
      <c r="V237" s="7"/>
      <c r="AG237" s="7"/>
      <c r="AR237" s="7"/>
    </row>
    <row r="238">
      <c r="K238" s="7"/>
      <c r="V238" s="7"/>
      <c r="AG238" s="7"/>
      <c r="AR238" s="7"/>
    </row>
    <row r="239">
      <c r="K239" s="7"/>
      <c r="V239" s="7"/>
      <c r="AG239" s="7"/>
      <c r="AR239" s="7"/>
    </row>
    <row r="240">
      <c r="K240" s="7"/>
      <c r="V240" s="7"/>
      <c r="AG240" s="7"/>
      <c r="AR240" s="7"/>
    </row>
    <row r="241">
      <c r="K241" s="7"/>
      <c r="V241" s="7"/>
      <c r="AG241" s="7"/>
      <c r="AR241" s="7"/>
    </row>
    <row r="242">
      <c r="K242" s="7"/>
      <c r="V242" s="7"/>
      <c r="AG242" s="7"/>
      <c r="AR242" s="7"/>
    </row>
    <row r="243">
      <c r="K243" s="7"/>
      <c r="V243" s="7"/>
      <c r="AG243" s="7"/>
      <c r="AR243" s="7"/>
    </row>
    <row r="244">
      <c r="K244" s="7"/>
      <c r="V244" s="7"/>
      <c r="AG244" s="7"/>
      <c r="AR244" s="7"/>
    </row>
    <row r="245">
      <c r="K245" s="7"/>
      <c r="V245" s="7"/>
      <c r="AG245" s="7"/>
      <c r="AR245" s="7"/>
    </row>
    <row r="246">
      <c r="K246" s="7"/>
      <c r="V246" s="7"/>
      <c r="AG246" s="7"/>
      <c r="AR246" s="7"/>
    </row>
    <row r="247">
      <c r="K247" s="7"/>
      <c r="V247" s="7"/>
      <c r="AG247" s="7"/>
      <c r="AR247" s="7"/>
    </row>
    <row r="248">
      <c r="K248" s="7"/>
      <c r="V248" s="7"/>
      <c r="AG248" s="7"/>
      <c r="AR248" s="7"/>
    </row>
    <row r="249">
      <c r="K249" s="7"/>
      <c r="V249" s="7"/>
      <c r="AG249" s="7"/>
      <c r="AR249" s="7"/>
    </row>
    <row r="250">
      <c r="K250" s="7"/>
      <c r="V250" s="7"/>
      <c r="AG250" s="7"/>
      <c r="AR250" s="7"/>
    </row>
    <row r="251">
      <c r="K251" s="7"/>
      <c r="V251" s="7"/>
      <c r="AG251" s="7"/>
      <c r="AR251" s="7"/>
    </row>
    <row r="252">
      <c r="K252" s="7"/>
      <c r="V252" s="7"/>
      <c r="AG252" s="7"/>
      <c r="AR252" s="7"/>
    </row>
    <row r="253">
      <c r="K253" s="7"/>
      <c r="V253" s="7"/>
      <c r="AG253" s="7"/>
      <c r="AR253" s="7"/>
    </row>
    <row r="254">
      <c r="K254" s="7"/>
      <c r="V254" s="7"/>
      <c r="AG254" s="7"/>
      <c r="AR254" s="7"/>
    </row>
    <row r="255">
      <c r="K255" s="7"/>
      <c r="V255" s="7"/>
      <c r="AG255" s="7"/>
      <c r="AR255" s="7"/>
    </row>
    <row r="256">
      <c r="K256" s="7"/>
      <c r="V256" s="7"/>
      <c r="AG256" s="7"/>
      <c r="AR256" s="7"/>
    </row>
    <row r="257">
      <c r="K257" s="7"/>
      <c r="V257" s="7"/>
      <c r="AG257" s="7"/>
      <c r="AR257" s="7"/>
    </row>
    <row r="258">
      <c r="K258" s="7"/>
      <c r="V258" s="7"/>
      <c r="AG258" s="7"/>
      <c r="AR258" s="7"/>
    </row>
    <row r="259">
      <c r="K259" s="7"/>
      <c r="V259" s="7"/>
      <c r="AG259" s="7"/>
      <c r="AR259" s="7"/>
    </row>
    <row r="260">
      <c r="K260" s="7"/>
      <c r="V260" s="7"/>
      <c r="AG260" s="7"/>
      <c r="AR260" s="7"/>
    </row>
    <row r="261">
      <c r="K261" s="7"/>
      <c r="V261" s="7"/>
      <c r="AG261" s="7"/>
      <c r="AR261" s="7"/>
    </row>
    <row r="262">
      <c r="K262" s="7"/>
      <c r="V262" s="7"/>
      <c r="AG262" s="7"/>
      <c r="AR262" s="7"/>
    </row>
    <row r="263">
      <c r="K263" s="7"/>
      <c r="V263" s="7"/>
      <c r="AG263" s="7"/>
      <c r="AR263" s="7"/>
    </row>
    <row r="264">
      <c r="K264" s="7"/>
      <c r="V264" s="7"/>
      <c r="AG264" s="7"/>
      <c r="AR264" s="7"/>
    </row>
    <row r="265">
      <c r="K265" s="7"/>
      <c r="V265" s="7"/>
      <c r="AG265" s="7"/>
      <c r="AR265" s="7"/>
    </row>
    <row r="266">
      <c r="K266" s="7"/>
      <c r="V266" s="7"/>
      <c r="AG266" s="7"/>
      <c r="AR266" s="7"/>
    </row>
    <row r="267">
      <c r="K267" s="7"/>
      <c r="V267" s="7"/>
      <c r="AG267" s="7"/>
      <c r="AR267" s="7"/>
    </row>
    <row r="268">
      <c r="K268" s="7"/>
      <c r="V268" s="7"/>
      <c r="AG268" s="7"/>
      <c r="AR268" s="7"/>
    </row>
    <row r="269">
      <c r="K269" s="7"/>
      <c r="V269" s="7"/>
      <c r="AG269" s="7"/>
      <c r="AR269" s="7"/>
    </row>
    <row r="270">
      <c r="K270" s="7"/>
      <c r="V270" s="7"/>
      <c r="AG270" s="7"/>
      <c r="AR270" s="7"/>
    </row>
    <row r="271">
      <c r="K271" s="7"/>
      <c r="V271" s="7"/>
      <c r="AG271" s="7"/>
      <c r="AR271" s="7"/>
    </row>
    <row r="272">
      <c r="K272" s="7"/>
      <c r="V272" s="7"/>
      <c r="AG272" s="7"/>
      <c r="AR272" s="7"/>
    </row>
    <row r="273">
      <c r="K273" s="7"/>
      <c r="V273" s="7"/>
      <c r="AG273" s="7"/>
      <c r="AR273" s="7"/>
    </row>
    <row r="274">
      <c r="K274" s="7"/>
      <c r="V274" s="7"/>
      <c r="AG274" s="7"/>
      <c r="AR274" s="7"/>
    </row>
    <row r="275">
      <c r="K275" s="7"/>
      <c r="V275" s="7"/>
      <c r="AG275" s="7"/>
      <c r="AR275" s="7"/>
    </row>
    <row r="276">
      <c r="K276" s="7"/>
      <c r="V276" s="7"/>
      <c r="AG276" s="7"/>
      <c r="AR276" s="7"/>
    </row>
    <row r="277">
      <c r="K277" s="7"/>
      <c r="V277" s="7"/>
      <c r="AG277" s="7"/>
      <c r="AR277" s="7"/>
    </row>
    <row r="278">
      <c r="K278" s="7"/>
      <c r="V278" s="7"/>
      <c r="AG278" s="7"/>
      <c r="AR278" s="7"/>
    </row>
    <row r="279">
      <c r="K279" s="7"/>
      <c r="V279" s="7"/>
      <c r="AG279" s="7"/>
      <c r="AR279" s="7"/>
    </row>
    <row r="280">
      <c r="K280" s="7"/>
      <c r="V280" s="7"/>
      <c r="AG280" s="7"/>
      <c r="AR280" s="7"/>
    </row>
    <row r="281">
      <c r="K281" s="7"/>
      <c r="V281" s="7"/>
      <c r="AG281" s="7"/>
      <c r="AR281" s="7"/>
    </row>
    <row r="282">
      <c r="K282" s="7"/>
      <c r="V282" s="7"/>
      <c r="AG282" s="7"/>
      <c r="AR282" s="7"/>
    </row>
    <row r="283">
      <c r="K283" s="7"/>
      <c r="V283" s="7"/>
      <c r="AG283" s="7"/>
      <c r="AR283" s="7"/>
    </row>
    <row r="284">
      <c r="K284" s="7"/>
      <c r="V284" s="7"/>
      <c r="AG284" s="7"/>
      <c r="AR284" s="7"/>
    </row>
    <row r="285">
      <c r="K285" s="7"/>
      <c r="V285" s="7"/>
      <c r="AG285" s="7"/>
      <c r="AR285" s="7"/>
    </row>
    <row r="286">
      <c r="K286" s="7"/>
      <c r="V286" s="7"/>
      <c r="AG286" s="7"/>
      <c r="AR286" s="7"/>
    </row>
    <row r="287">
      <c r="K287" s="7"/>
      <c r="V287" s="7"/>
      <c r="AG287" s="7"/>
      <c r="AR287" s="7"/>
    </row>
    <row r="288">
      <c r="K288" s="7"/>
      <c r="V288" s="7"/>
      <c r="AG288" s="7"/>
      <c r="AR288" s="7"/>
    </row>
    <row r="289">
      <c r="K289" s="7"/>
      <c r="V289" s="7"/>
      <c r="AG289" s="7"/>
      <c r="AR289" s="7"/>
    </row>
    <row r="290">
      <c r="K290" s="7"/>
      <c r="V290" s="7"/>
      <c r="AG290" s="7"/>
      <c r="AR290" s="7"/>
    </row>
    <row r="291">
      <c r="K291" s="7"/>
      <c r="V291" s="7"/>
      <c r="AG291" s="7"/>
      <c r="AR291" s="7"/>
    </row>
    <row r="292">
      <c r="K292" s="7"/>
      <c r="V292" s="7"/>
      <c r="AG292" s="7"/>
      <c r="AR292" s="7"/>
    </row>
    <row r="293">
      <c r="K293" s="7"/>
      <c r="V293" s="7"/>
      <c r="AG293" s="7"/>
      <c r="AR293" s="7"/>
    </row>
    <row r="294">
      <c r="K294" s="7"/>
      <c r="V294" s="7"/>
      <c r="AG294" s="7"/>
      <c r="AR294" s="7"/>
    </row>
    <row r="295">
      <c r="K295" s="7"/>
      <c r="V295" s="7"/>
      <c r="AG295" s="7"/>
      <c r="AR295" s="7"/>
    </row>
    <row r="296">
      <c r="K296" s="7"/>
      <c r="V296" s="7"/>
      <c r="AG296" s="7"/>
      <c r="AR296" s="7"/>
    </row>
    <row r="297">
      <c r="K297" s="7"/>
      <c r="V297" s="7"/>
      <c r="AG297" s="7"/>
      <c r="AR297" s="7"/>
    </row>
    <row r="298">
      <c r="K298" s="7"/>
      <c r="V298" s="7"/>
      <c r="AG298" s="7"/>
      <c r="AR298" s="7"/>
    </row>
    <row r="299">
      <c r="K299" s="7"/>
      <c r="V299" s="7"/>
      <c r="AG299" s="7"/>
      <c r="AR299" s="7"/>
    </row>
    <row r="300">
      <c r="K300" s="7"/>
      <c r="V300" s="7"/>
      <c r="AG300" s="7"/>
      <c r="AR300" s="7"/>
    </row>
    <row r="301">
      <c r="K301" s="7"/>
      <c r="V301" s="7"/>
      <c r="AG301" s="7"/>
      <c r="AR301" s="7"/>
    </row>
    <row r="302">
      <c r="K302" s="7"/>
      <c r="V302" s="7"/>
      <c r="AG302" s="7"/>
      <c r="AR302" s="7"/>
    </row>
    <row r="303">
      <c r="K303" s="7"/>
      <c r="V303" s="7"/>
      <c r="AG303" s="7"/>
      <c r="AR303" s="7"/>
    </row>
    <row r="304">
      <c r="K304" s="7"/>
      <c r="V304" s="7"/>
      <c r="AG304" s="7"/>
      <c r="AR304" s="7"/>
    </row>
    <row r="305">
      <c r="K305" s="7"/>
      <c r="V305" s="7"/>
      <c r="AG305" s="7"/>
      <c r="AR305" s="7"/>
    </row>
    <row r="306">
      <c r="K306" s="7"/>
      <c r="V306" s="7"/>
      <c r="AG306" s="7"/>
      <c r="AR306" s="7"/>
    </row>
    <row r="307">
      <c r="K307" s="7"/>
      <c r="V307" s="7"/>
      <c r="AG307" s="7"/>
      <c r="AR307" s="7"/>
    </row>
    <row r="308">
      <c r="K308" s="7"/>
      <c r="V308" s="7"/>
      <c r="AG308" s="7"/>
      <c r="AR308" s="7"/>
    </row>
    <row r="309">
      <c r="K309" s="7"/>
      <c r="V309" s="7"/>
      <c r="AG309" s="7"/>
      <c r="AR309" s="7"/>
    </row>
    <row r="310">
      <c r="K310" s="7"/>
      <c r="V310" s="7"/>
      <c r="AG310" s="7"/>
      <c r="AR310" s="7"/>
    </row>
    <row r="311">
      <c r="K311" s="7"/>
      <c r="V311" s="7"/>
      <c r="AG311" s="7"/>
      <c r="AR311" s="7"/>
    </row>
    <row r="312">
      <c r="K312" s="7"/>
      <c r="V312" s="7"/>
      <c r="AG312" s="7"/>
      <c r="AR312" s="7"/>
    </row>
    <row r="313">
      <c r="K313" s="7"/>
      <c r="V313" s="7"/>
      <c r="AG313" s="7"/>
      <c r="AR313" s="7"/>
    </row>
    <row r="314">
      <c r="K314" s="7"/>
      <c r="V314" s="7"/>
      <c r="AG314" s="7"/>
      <c r="AR314" s="7"/>
    </row>
    <row r="315">
      <c r="K315" s="7"/>
      <c r="V315" s="7"/>
      <c r="AG315" s="7"/>
      <c r="AR315" s="7"/>
    </row>
    <row r="316">
      <c r="K316" s="7"/>
      <c r="V316" s="7"/>
      <c r="AG316" s="7"/>
      <c r="AR316" s="7"/>
    </row>
    <row r="317">
      <c r="K317" s="7"/>
      <c r="V317" s="7"/>
      <c r="AG317" s="7"/>
      <c r="AR317" s="7"/>
    </row>
    <row r="318">
      <c r="K318" s="7"/>
      <c r="V318" s="7"/>
      <c r="AG318" s="7"/>
      <c r="AR318" s="7"/>
    </row>
    <row r="319">
      <c r="K319" s="7"/>
      <c r="V319" s="7"/>
      <c r="AG319" s="7"/>
      <c r="AR319" s="7"/>
    </row>
    <row r="320">
      <c r="K320" s="7"/>
      <c r="V320" s="7"/>
      <c r="AG320" s="7"/>
      <c r="AR320" s="7"/>
    </row>
    <row r="321">
      <c r="K321" s="7"/>
      <c r="V321" s="7"/>
      <c r="AG321" s="7"/>
      <c r="AR321" s="7"/>
    </row>
    <row r="322">
      <c r="K322" s="7"/>
      <c r="V322" s="7"/>
      <c r="AG322" s="7"/>
      <c r="AR322" s="7"/>
    </row>
    <row r="323">
      <c r="K323" s="7"/>
      <c r="V323" s="7"/>
      <c r="AG323" s="7"/>
      <c r="AR323" s="7"/>
    </row>
    <row r="324">
      <c r="K324" s="7"/>
      <c r="V324" s="7"/>
      <c r="AG324" s="7"/>
      <c r="AR324" s="7"/>
    </row>
    <row r="325">
      <c r="K325" s="7"/>
      <c r="V325" s="7"/>
      <c r="AG325" s="7"/>
      <c r="AR325" s="7"/>
    </row>
    <row r="326">
      <c r="K326" s="7"/>
      <c r="V326" s="7"/>
      <c r="AG326" s="7"/>
      <c r="AR326" s="7"/>
    </row>
    <row r="327">
      <c r="K327" s="7"/>
      <c r="V327" s="7"/>
      <c r="AG327" s="7"/>
      <c r="AR327" s="7"/>
    </row>
    <row r="328">
      <c r="K328" s="7"/>
      <c r="V328" s="7"/>
      <c r="AG328" s="7"/>
      <c r="AR328" s="7"/>
    </row>
    <row r="329">
      <c r="K329" s="7"/>
      <c r="V329" s="7"/>
      <c r="AG329" s="7"/>
      <c r="AR329" s="7"/>
    </row>
    <row r="330">
      <c r="K330" s="7"/>
      <c r="V330" s="7"/>
      <c r="AG330" s="7"/>
      <c r="AR330" s="7"/>
    </row>
    <row r="331">
      <c r="K331" s="7"/>
      <c r="V331" s="7"/>
      <c r="AG331" s="7"/>
      <c r="AR331" s="7"/>
    </row>
    <row r="332">
      <c r="K332" s="7"/>
      <c r="V332" s="7"/>
      <c r="AG332" s="7"/>
      <c r="AR332" s="7"/>
    </row>
    <row r="333">
      <c r="K333" s="7"/>
      <c r="V333" s="7"/>
      <c r="AG333" s="7"/>
      <c r="AR333" s="7"/>
    </row>
    <row r="334">
      <c r="K334" s="7"/>
      <c r="V334" s="7"/>
      <c r="AG334" s="7"/>
      <c r="AR334" s="7"/>
    </row>
    <row r="335">
      <c r="K335" s="7"/>
      <c r="V335" s="7"/>
      <c r="AG335" s="7"/>
      <c r="AR335" s="7"/>
    </row>
    <row r="336">
      <c r="K336" s="7"/>
      <c r="V336" s="7"/>
      <c r="AG336" s="7"/>
      <c r="AR336" s="7"/>
    </row>
    <row r="337">
      <c r="K337" s="7"/>
      <c r="V337" s="7"/>
      <c r="AG337" s="7"/>
      <c r="AR337" s="7"/>
    </row>
    <row r="338">
      <c r="K338" s="7"/>
      <c r="V338" s="7"/>
      <c r="AG338" s="7"/>
      <c r="AR338" s="7"/>
    </row>
    <row r="339">
      <c r="K339" s="7"/>
      <c r="V339" s="7"/>
      <c r="AG339" s="7"/>
      <c r="AR339" s="7"/>
    </row>
    <row r="340">
      <c r="K340" s="7"/>
      <c r="V340" s="7"/>
      <c r="AG340" s="7"/>
      <c r="AR340" s="7"/>
    </row>
    <row r="341">
      <c r="K341" s="7"/>
      <c r="V341" s="7"/>
      <c r="AG341" s="7"/>
      <c r="AR341" s="7"/>
    </row>
    <row r="342">
      <c r="K342" s="7"/>
      <c r="V342" s="7"/>
      <c r="AG342" s="7"/>
      <c r="AR342" s="7"/>
    </row>
    <row r="343">
      <c r="K343" s="7"/>
      <c r="V343" s="7"/>
      <c r="AG343" s="7"/>
      <c r="AR343" s="7"/>
    </row>
    <row r="344">
      <c r="K344" s="7"/>
      <c r="V344" s="7"/>
      <c r="AG344" s="7"/>
      <c r="AR344" s="7"/>
    </row>
    <row r="345">
      <c r="K345" s="7"/>
      <c r="V345" s="7"/>
      <c r="AG345" s="7"/>
      <c r="AR345" s="7"/>
    </row>
    <row r="346">
      <c r="K346" s="7"/>
      <c r="V346" s="7"/>
      <c r="AG346" s="7"/>
      <c r="AR346" s="7"/>
    </row>
    <row r="347">
      <c r="K347" s="7"/>
      <c r="V347" s="7"/>
      <c r="AG347" s="7"/>
      <c r="AR347" s="7"/>
    </row>
    <row r="348">
      <c r="K348" s="7"/>
      <c r="V348" s="7"/>
      <c r="AG348" s="7"/>
      <c r="AR348" s="7"/>
    </row>
    <row r="349">
      <c r="K349" s="7"/>
      <c r="V349" s="7"/>
      <c r="AG349" s="7"/>
      <c r="AR349" s="7"/>
    </row>
    <row r="350">
      <c r="K350" s="7"/>
      <c r="V350" s="7"/>
      <c r="AG350" s="7"/>
      <c r="AR350" s="7"/>
    </row>
    <row r="351">
      <c r="K351" s="7"/>
      <c r="V351" s="7"/>
      <c r="AG351" s="7"/>
      <c r="AR351" s="7"/>
    </row>
    <row r="352">
      <c r="K352" s="7"/>
      <c r="V352" s="7"/>
      <c r="AG352" s="7"/>
      <c r="AR352" s="7"/>
    </row>
    <row r="353">
      <c r="K353" s="7"/>
      <c r="V353" s="7"/>
      <c r="AG353" s="7"/>
      <c r="AR353" s="7"/>
    </row>
    <row r="354">
      <c r="K354" s="7"/>
      <c r="V354" s="7"/>
      <c r="AG354" s="7"/>
      <c r="AR354" s="7"/>
    </row>
    <row r="355">
      <c r="K355" s="7"/>
      <c r="V355" s="7"/>
      <c r="AG355" s="7"/>
      <c r="AR355" s="7"/>
    </row>
    <row r="356">
      <c r="K356" s="7"/>
      <c r="V356" s="7"/>
      <c r="AG356" s="7"/>
      <c r="AR356" s="7"/>
    </row>
    <row r="357">
      <c r="K357" s="7"/>
      <c r="V357" s="7"/>
      <c r="AG357" s="7"/>
      <c r="AR357" s="7"/>
    </row>
    <row r="358">
      <c r="K358" s="7"/>
      <c r="V358" s="7"/>
      <c r="AG358" s="7"/>
      <c r="AR358" s="7"/>
    </row>
    <row r="359">
      <c r="K359" s="7"/>
      <c r="V359" s="7"/>
      <c r="AG359" s="7"/>
      <c r="AR359" s="7"/>
    </row>
    <row r="360">
      <c r="K360" s="7"/>
      <c r="V360" s="7"/>
      <c r="AG360" s="7"/>
      <c r="AR360" s="7"/>
    </row>
    <row r="361">
      <c r="K361" s="7"/>
      <c r="V361" s="7"/>
      <c r="AG361" s="7"/>
      <c r="AR361" s="7"/>
    </row>
    <row r="362">
      <c r="K362" s="7"/>
      <c r="V362" s="7"/>
      <c r="AG362" s="7"/>
      <c r="AR362" s="7"/>
    </row>
    <row r="363">
      <c r="K363" s="7"/>
      <c r="V363" s="7"/>
      <c r="AG363" s="7"/>
      <c r="AR363" s="7"/>
    </row>
    <row r="364">
      <c r="K364" s="7"/>
      <c r="V364" s="7"/>
      <c r="AG364" s="7"/>
      <c r="AR364" s="7"/>
    </row>
    <row r="365">
      <c r="K365" s="7"/>
      <c r="V365" s="7"/>
      <c r="AG365" s="7"/>
      <c r="AR365" s="7"/>
    </row>
    <row r="366">
      <c r="K366" s="7"/>
      <c r="V366" s="7"/>
      <c r="AG366" s="7"/>
      <c r="AR366" s="7"/>
    </row>
    <row r="367">
      <c r="K367" s="7"/>
      <c r="V367" s="7"/>
      <c r="AG367" s="7"/>
      <c r="AR367" s="7"/>
    </row>
    <row r="368">
      <c r="K368" s="7"/>
      <c r="V368" s="7"/>
      <c r="AG368" s="7"/>
      <c r="AR368" s="7"/>
    </row>
    <row r="369">
      <c r="K369" s="7"/>
      <c r="V369" s="7"/>
      <c r="AG369" s="7"/>
      <c r="AR369" s="7"/>
    </row>
    <row r="370">
      <c r="K370" s="7"/>
      <c r="V370" s="7"/>
      <c r="AG370" s="7"/>
      <c r="AR370" s="7"/>
    </row>
    <row r="371">
      <c r="K371" s="7"/>
      <c r="V371" s="7"/>
      <c r="AG371" s="7"/>
      <c r="AR371" s="7"/>
    </row>
    <row r="372">
      <c r="K372" s="7"/>
      <c r="V372" s="7"/>
      <c r="AG372" s="7"/>
      <c r="AR372" s="7"/>
    </row>
    <row r="373">
      <c r="K373" s="7"/>
      <c r="V373" s="7"/>
      <c r="AG373" s="7"/>
      <c r="AR373" s="7"/>
    </row>
    <row r="374">
      <c r="K374" s="7"/>
      <c r="V374" s="7"/>
      <c r="AG374" s="7"/>
      <c r="AR374" s="7"/>
    </row>
    <row r="375">
      <c r="K375" s="7"/>
      <c r="V375" s="7"/>
      <c r="AG375" s="7"/>
      <c r="AR375" s="7"/>
    </row>
    <row r="376">
      <c r="K376" s="7"/>
      <c r="V376" s="7"/>
      <c r="AG376" s="7"/>
      <c r="AR376" s="7"/>
    </row>
    <row r="377">
      <c r="K377" s="7"/>
      <c r="V377" s="7"/>
      <c r="AG377" s="7"/>
      <c r="AR377" s="7"/>
    </row>
    <row r="378">
      <c r="K378" s="7"/>
      <c r="V378" s="7"/>
      <c r="AG378" s="7"/>
      <c r="AR378" s="7"/>
    </row>
    <row r="379">
      <c r="K379" s="7"/>
      <c r="V379" s="7"/>
      <c r="AG379" s="7"/>
      <c r="AR379" s="7"/>
    </row>
    <row r="380">
      <c r="K380" s="7"/>
      <c r="V380" s="7"/>
      <c r="AG380" s="7"/>
      <c r="AR380" s="7"/>
    </row>
    <row r="381">
      <c r="K381" s="7"/>
      <c r="V381" s="7"/>
      <c r="AG381" s="7"/>
      <c r="AR381" s="7"/>
    </row>
    <row r="382">
      <c r="K382" s="7"/>
      <c r="V382" s="7"/>
      <c r="AG382" s="7"/>
      <c r="AR382" s="7"/>
    </row>
    <row r="383">
      <c r="K383" s="7"/>
      <c r="V383" s="7"/>
      <c r="AG383" s="7"/>
      <c r="AR383" s="7"/>
    </row>
    <row r="384">
      <c r="K384" s="7"/>
      <c r="V384" s="7"/>
      <c r="AG384" s="7"/>
      <c r="AR384" s="7"/>
    </row>
    <row r="385">
      <c r="K385" s="7"/>
      <c r="V385" s="7"/>
      <c r="AG385" s="7"/>
      <c r="AR385" s="7"/>
    </row>
    <row r="386">
      <c r="K386" s="7"/>
      <c r="V386" s="7"/>
      <c r="AG386" s="7"/>
      <c r="AR386" s="7"/>
    </row>
    <row r="387">
      <c r="K387" s="7"/>
      <c r="V387" s="7"/>
      <c r="AG387" s="7"/>
      <c r="AR387" s="7"/>
    </row>
    <row r="388">
      <c r="K388" s="7"/>
      <c r="V388" s="7"/>
      <c r="AG388" s="7"/>
      <c r="AR388" s="7"/>
    </row>
    <row r="389">
      <c r="K389" s="7"/>
      <c r="V389" s="7"/>
      <c r="AG389" s="7"/>
      <c r="AR389" s="7"/>
    </row>
    <row r="390">
      <c r="K390" s="7"/>
      <c r="V390" s="7"/>
      <c r="AG390" s="7"/>
      <c r="AR390" s="7"/>
    </row>
    <row r="391">
      <c r="K391" s="7"/>
      <c r="V391" s="7"/>
      <c r="AG391" s="7"/>
      <c r="AR391" s="7"/>
    </row>
    <row r="392">
      <c r="K392" s="7"/>
      <c r="V392" s="7"/>
      <c r="AG392" s="7"/>
      <c r="AR392" s="7"/>
    </row>
    <row r="393">
      <c r="K393" s="7"/>
      <c r="V393" s="7"/>
      <c r="AG393" s="7"/>
      <c r="AR393" s="7"/>
    </row>
    <row r="394">
      <c r="K394" s="7"/>
      <c r="V394" s="7"/>
      <c r="AG394" s="7"/>
      <c r="AR394" s="7"/>
    </row>
    <row r="395">
      <c r="K395" s="7"/>
      <c r="V395" s="7"/>
      <c r="AG395" s="7"/>
      <c r="AR395" s="7"/>
    </row>
    <row r="396">
      <c r="K396" s="7"/>
      <c r="V396" s="7"/>
      <c r="AG396" s="7"/>
      <c r="AR396" s="7"/>
    </row>
    <row r="397">
      <c r="K397" s="7"/>
      <c r="V397" s="7"/>
      <c r="AG397" s="7"/>
      <c r="AR397" s="7"/>
    </row>
    <row r="398">
      <c r="K398" s="7"/>
      <c r="V398" s="7"/>
      <c r="AG398" s="7"/>
      <c r="AR398" s="7"/>
    </row>
    <row r="399">
      <c r="K399" s="7"/>
      <c r="V399" s="7"/>
      <c r="AG399" s="7"/>
      <c r="AR399" s="7"/>
    </row>
    <row r="400">
      <c r="K400" s="7"/>
      <c r="V400" s="7"/>
      <c r="AG400" s="7"/>
      <c r="AR400" s="7"/>
    </row>
    <row r="401">
      <c r="K401" s="7"/>
      <c r="V401" s="7"/>
      <c r="AG401" s="7"/>
      <c r="AR401" s="7"/>
    </row>
    <row r="402">
      <c r="K402" s="7"/>
      <c r="V402" s="7"/>
      <c r="AG402" s="7"/>
      <c r="AR402" s="7"/>
    </row>
    <row r="403">
      <c r="K403" s="7"/>
      <c r="V403" s="7"/>
      <c r="AG403" s="7"/>
      <c r="AR403" s="7"/>
    </row>
    <row r="404">
      <c r="K404" s="7"/>
      <c r="V404" s="7"/>
      <c r="AG404" s="7"/>
      <c r="AR404" s="7"/>
    </row>
    <row r="405">
      <c r="K405" s="7"/>
      <c r="V405" s="7"/>
      <c r="AG405" s="7"/>
      <c r="AR405" s="7"/>
    </row>
    <row r="406">
      <c r="K406" s="7"/>
      <c r="V406" s="7"/>
      <c r="AG406" s="7"/>
      <c r="AR406" s="7"/>
    </row>
    <row r="407">
      <c r="K407" s="7"/>
      <c r="V407" s="7"/>
      <c r="AG407" s="7"/>
      <c r="AR407" s="7"/>
    </row>
    <row r="408">
      <c r="K408" s="7"/>
      <c r="V408" s="7"/>
      <c r="AG408" s="7"/>
      <c r="AR408" s="7"/>
    </row>
    <row r="409">
      <c r="K409" s="7"/>
      <c r="V409" s="7"/>
      <c r="AG409" s="7"/>
      <c r="AR409" s="7"/>
    </row>
    <row r="410">
      <c r="K410" s="7"/>
      <c r="V410" s="7"/>
      <c r="AG410" s="7"/>
      <c r="AR410" s="7"/>
    </row>
    <row r="411">
      <c r="K411" s="7"/>
      <c r="V411" s="7"/>
      <c r="AG411" s="7"/>
      <c r="AR411" s="7"/>
    </row>
    <row r="412">
      <c r="K412" s="7"/>
      <c r="V412" s="7"/>
      <c r="AG412" s="7"/>
      <c r="AR412" s="7"/>
    </row>
    <row r="413">
      <c r="K413" s="7"/>
      <c r="V413" s="7"/>
      <c r="AG413" s="7"/>
      <c r="AR413" s="7"/>
    </row>
    <row r="414">
      <c r="K414" s="7"/>
      <c r="V414" s="7"/>
      <c r="AG414" s="7"/>
      <c r="AR414" s="7"/>
    </row>
    <row r="415">
      <c r="K415" s="7"/>
      <c r="V415" s="7"/>
      <c r="AG415" s="7"/>
      <c r="AR415" s="7"/>
    </row>
    <row r="416">
      <c r="K416" s="7"/>
      <c r="V416" s="7"/>
      <c r="AG416" s="7"/>
      <c r="AR416" s="7"/>
    </row>
    <row r="417">
      <c r="K417" s="7"/>
      <c r="V417" s="7"/>
      <c r="AG417" s="7"/>
      <c r="AR417" s="7"/>
    </row>
    <row r="418">
      <c r="K418" s="7"/>
      <c r="V418" s="7"/>
      <c r="AG418" s="7"/>
      <c r="AR418" s="7"/>
    </row>
    <row r="419">
      <c r="K419" s="7"/>
      <c r="V419" s="7"/>
      <c r="AG419" s="7"/>
      <c r="AR419" s="7"/>
    </row>
    <row r="420">
      <c r="K420" s="7"/>
      <c r="V420" s="7"/>
      <c r="AG420" s="7"/>
      <c r="AR420" s="7"/>
    </row>
    <row r="421">
      <c r="K421" s="7"/>
      <c r="V421" s="7"/>
      <c r="AG421" s="7"/>
      <c r="AR421" s="7"/>
    </row>
    <row r="422">
      <c r="K422" s="7"/>
      <c r="V422" s="7"/>
      <c r="AG422" s="7"/>
      <c r="AR422" s="7"/>
    </row>
    <row r="423">
      <c r="K423" s="7"/>
      <c r="V423" s="7"/>
      <c r="AG423" s="7"/>
      <c r="AR423" s="7"/>
    </row>
    <row r="424">
      <c r="K424" s="7"/>
      <c r="V424" s="7"/>
      <c r="AG424" s="7"/>
      <c r="AR424" s="7"/>
    </row>
    <row r="425">
      <c r="K425" s="7"/>
      <c r="V425" s="7"/>
      <c r="AG425" s="7"/>
      <c r="AR425" s="7"/>
    </row>
    <row r="426">
      <c r="K426" s="7"/>
      <c r="V426" s="7"/>
      <c r="AG426" s="7"/>
      <c r="AR426" s="7"/>
    </row>
    <row r="427">
      <c r="K427" s="7"/>
      <c r="V427" s="7"/>
      <c r="AG427" s="7"/>
      <c r="AR427" s="7"/>
    </row>
    <row r="428">
      <c r="K428" s="7"/>
      <c r="V428" s="7"/>
      <c r="AG428" s="7"/>
      <c r="AR428" s="7"/>
    </row>
    <row r="429">
      <c r="K429" s="7"/>
      <c r="V429" s="7"/>
      <c r="AG429" s="7"/>
      <c r="AR429" s="7"/>
    </row>
    <row r="430">
      <c r="K430" s="7"/>
      <c r="V430" s="7"/>
      <c r="AG430" s="7"/>
      <c r="AR430" s="7"/>
    </row>
    <row r="431">
      <c r="K431" s="7"/>
      <c r="V431" s="7"/>
      <c r="AG431" s="7"/>
      <c r="AR431" s="7"/>
    </row>
    <row r="432">
      <c r="K432" s="7"/>
      <c r="V432" s="7"/>
      <c r="AG432" s="7"/>
      <c r="AR432" s="7"/>
    </row>
    <row r="433">
      <c r="K433" s="7"/>
      <c r="V433" s="7"/>
      <c r="AG433" s="7"/>
      <c r="AR433" s="7"/>
    </row>
    <row r="434">
      <c r="K434" s="7"/>
      <c r="V434" s="7"/>
      <c r="AG434" s="7"/>
      <c r="AR434" s="7"/>
    </row>
    <row r="435">
      <c r="K435" s="7"/>
      <c r="V435" s="7"/>
      <c r="AG435" s="7"/>
      <c r="AR435" s="7"/>
    </row>
    <row r="436">
      <c r="K436" s="7"/>
      <c r="V436" s="7"/>
      <c r="AG436" s="7"/>
      <c r="AR436" s="7"/>
    </row>
    <row r="437">
      <c r="K437" s="7"/>
      <c r="V437" s="7"/>
      <c r="AG437" s="7"/>
      <c r="AR437" s="7"/>
    </row>
    <row r="438">
      <c r="K438" s="7"/>
      <c r="V438" s="7"/>
      <c r="AG438" s="7"/>
      <c r="AR438" s="7"/>
    </row>
    <row r="439">
      <c r="K439" s="7"/>
      <c r="V439" s="7"/>
      <c r="AG439" s="7"/>
      <c r="AR439" s="7"/>
    </row>
    <row r="440">
      <c r="K440" s="7"/>
      <c r="V440" s="7"/>
      <c r="AG440" s="7"/>
      <c r="AR440" s="7"/>
    </row>
    <row r="441">
      <c r="K441" s="7"/>
      <c r="V441" s="7"/>
      <c r="AG441" s="7"/>
      <c r="AR441" s="7"/>
    </row>
    <row r="442">
      <c r="K442" s="7"/>
      <c r="V442" s="7"/>
      <c r="AG442" s="7"/>
      <c r="AR442" s="7"/>
    </row>
    <row r="443">
      <c r="K443" s="7"/>
      <c r="V443" s="7"/>
      <c r="AG443" s="7"/>
      <c r="AR443" s="7"/>
    </row>
    <row r="444">
      <c r="K444" s="7"/>
      <c r="V444" s="7"/>
      <c r="AG444" s="7"/>
      <c r="AR444" s="7"/>
    </row>
    <row r="445">
      <c r="K445" s="7"/>
      <c r="V445" s="7"/>
      <c r="AG445" s="7"/>
      <c r="AR445" s="7"/>
    </row>
    <row r="446">
      <c r="K446" s="7"/>
      <c r="V446" s="7"/>
      <c r="AG446" s="7"/>
      <c r="AR446" s="7"/>
    </row>
    <row r="447">
      <c r="K447" s="7"/>
      <c r="V447" s="7"/>
      <c r="AG447" s="7"/>
      <c r="AR447" s="7"/>
    </row>
    <row r="448">
      <c r="K448" s="7"/>
      <c r="V448" s="7"/>
      <c r="AG448" s="7"/>
      <c r="AR448" s="7"/>
    </row>
    <row r="449">
      <c r="K449" s="7"/>
      <c r="V449" s="7"/>
      <c r="AG449" s="7"/>
      <c r="AR449" s="7"/>
    </row>
    <row r="450">
      <c r="K450" s="7"/>
      <c r="V450" s="7"/>
      <c r="AG450" s="7"/>
      <c r="AR450" s="7"/>
    </row>
    <row r="451">
      <c r="K451" s="7"/>
      <c r="V451" s="7"/>
      <c r="AG451" s="7"/>
      <c r="AR451" s="7"/>
    </row>
    <row r="452">
      <c r="K452" s="7"/>
      <c r="V452" s="7"/>
      <c r="AG452" s="7"/>
      <c r="AR452" s="7"/>
    </row>
    <row r="453">
      <c r="K453" s="7"/>
      <c r="V453" s="7"/>
      <c r="AG453" s="7"/>
      <c r="AR453" s="7"/>
    </row>
    <row r="454">
      <c r="K454" s="7"/>
      <c r="V454" s="7"/>
      <c r="AG454" s="7"/>
      <c r="AR454" s="7"/>
    </row>
    <row r="455">
      <c r="K455" s="7"/>
      <c r="V455" s="7"/>
      <c r="AG455" s="7"/>
      <c r="AR455" s="7"/>
    </row>
    <row r="456">
      <c r="K456" s="7"/>
      <c r="V456" s="7"/>
      <c r="AG456" s="7"/>
      <c r="AR456" s="7"/>
    </row>
    <row r="457">
      <c r="K457" s="7"/>
      <c r="V457" s="7"/>
      <c r="AG457" s="7"/>
      <c r="AR457" s="7"/>
    </row>
    <row r="458">
      <c r="K458" s="7"/>
      <c r="V458" s="7"/>
      <c r="AG458" s="7"/>
      <c r="AR458" s="7"/>
    </row>
    <row r="459">
      <c r="K459" s="7"/>
      <c r="V459" s="7"/>
      <c r="AG459" s="7"/>
      <c r="AR459" s="7"/>
    </row>
    <row r="460">
      <c r="K460" s="7"/>
      <c r="V460" s="7"/>
      <c r="AG460" s="7"/>
      <c r="AR460" s="7"/>
    </row>
    <row r="461">
      <c r="K461" s="7"/>
      <c r="V461" s="7"/>
      <c r="AG461" s="7"/>
      <c r="AR461" s="7"/>
    </row>
    <row r="462">
      <c r="K462" s="7"/>
      <c r="V462" s="7"/>
      <c r="AG462" s="7"/>
      <c r="AR462" s="7"/>
    </row>
    <row r="463">
      <c r="K463" s="7"/>
      <c r="V463" s="7"/>
      <c r="AG463" s="7"/>
      <c r="AR463" s="7"/>
    </row>
    <row r="464">
      <c r="K464" s="7"/>
      <c r="V464" s="7"/>
      <c r="AG464" s="7"/>
      <c r="AR464" s="7"/>
    </row>
    <row r="465">
      <c r="K465" s="7"/>
      <c r="V465" s="7"/>
      <c r="AG465" s="7"/>
      <c r="AR465" s="7"/>
    </row>
    <row r="466">
      <c r="K466" s="7"/>
      <c r="V466" s="7"/>
      <c r="AG466" s="7"/>
      <c r="AR466" s="7"/>
    </row>
    <row r="467">
      <c r="K467" s="7"/>
      <c r="V467" s="7"/>
      <c r="AG467" s="7"/>
      <c r="AR467" s="7"/>
    </row>
    <row r="468">
      <c r="K468" s="7"/>
      <c r="V468" s="7"/>
      <c r="AG468" s="7"/>
      <c r="AR468" s="7"/>
    </row>
    <row r="469">
      <c r="K469" s="7"/>
      <c r="V469" s="7"/>
      <c r="AG469" s="7"/>
      <c r="AR469" s="7"/>
    </row>
    <row r="470">
      <c r="K470" s="7"/>
      <c r="V470" s="7"/>
      <c r="AG470" s="7"/>
      <c r="AR470" s="7"/>
    </row>
    <row r="471">
      <c r="K471" s="7"/>
      <c r="V471" s="7"/>
      <c r="AG471" s="7"/>
      <c r="AR471" s="7"/>
    </row>
    <row r="472">
      <c r="K472" s="7"/>
      <c r="V472" s="7"/>
      <c r="AG472" s="7"/>
      <c r="AR472" s="7"/>
    </row>
    <row r="473">
      <c r="K473" s="7"/>
      <c r="V473" s="7"/>
      <c r="AG473" s="7"/>
      <c r="AR473" s="7"/>
    </row>
    <row r="474">
      <c r="K474" s="7"/>
      <c r="V474" s="7"/>
      <c r="AG474" s="7"/>
      <c r="AR474" s="7"/>
    </row>
    <row r="475">
      <c r="K475" s="7"/>
      <c r="V475" s="7"/>
      <c r="AG475" s="7"/>
      <c r="AR475" s="7"/>
    </row>
    <row r="476">
      <c r="K476" s="7"/>
      <c r="V476" s="7"/>
      <c r="AG476" s="7"/>
      <c r="AR476" s="7"/>
    </row>
    <row r="477">
      <c r="K477" s="7"/>
      <c r="V477" s="7"/>
      <c r="AG477" s="7"/>
      <c r="AR477" s="7"/>
    </row>
    <row r="478">
      <c r="K478" s="7"/>
      <c r="V478" s="7"/>
      <c r="AG478" s="7"/>
      <c r="AR478" s="7"/>
    </row>
    <row r="479">
      <c r="K479" s="7"/>
      <c r="V479" s="7"/>
      <c r="AG479" s="7"/>
      <c r="AR479" s="7"/>
    </row>
    <row r="480">
      <c r="K480" s="7"/>
      <c r="V480" s="7"/>
      <c r="AG480" s="7"/>
      <c r="AR480" s="7"/>
    </row>
    <row r="481">
      <c r="K481" s="7"/>
      <c r="V481" s="7"/>
      <c r="AG481" s="7"/>
      <c r="AR481" s="7"/>
    </row>
    <row r="482">
      <c r="K482" s="7"/>
      <c r="V482" s="7"/>
      <c r="AG482" s="7"/>
      <c r="AR482" s="7"/>
    </row>
    <row r="483">
      <c r="K483" s="7"/>
      <c r="V483" s="7"/>
      <c r="AG483" s="7"/>
      <c r="AR483" s="7"/>
    </row>
    <row r="484">
      <c r="K484" s="7"/>
      <c r="V484" s="7"/>
      <c r="AG484" s="7"/>
      <c r="AR484" s="7"/>
    </row>
    <row r="485">
      <c r="K485" s="7"/>
      <c r="V485" s="7"/>
      <c r="AG485" s="7"/>
      <c r="AR485" s="7"/>
    </row>
    <row r="486">
      <c r="K486" s="7"/>
      <c r="V486" s="7"/>
      <c r="AG486" s="7"/>
      <c r="AR486" s="7"/>
    </row>
    <row r="487">
      <c r="K487" s="7"/>
      <c r="V487" s="7"/>
      <c r="AG487" s="7"/>
      <c r="AR487" s="7"/>
    </row>
    <row r="488">
      <c r="K488" s="7"/>
      <c r="V488" s="7"/>
      <c r="AG488" s="7"/>
      <c r="AR488" s="7"/>
    </row>
    <row r="489">
      <c r="K489" s="7"/>
      <c r="V489" s="7"/>
      <c r="AG489" s="7"/>
      <c r="AR489" s="7"/>
    </row>
    <row r="490">
      <c r="K490" s="7"/>
      <c r="V490" s="7"/>
      <c r="AG490" s="7"/>
      <c r="AR490" s="7"/>
    </row>
    <row r="491">
      <c r="K491" s="7"/>
      <c r="V491" s="7"/>
      <c r="AG491" s="7"/>
      <c r="AR491" s="7"/>
    </row>
    <row r="492">
      <c r="K492" s="7"/>
      <c r="V492" s="7"/>
      <c r="AG492" s="7"/>
      <c r="AR492" s="7"/>
    </row>
    <row r="493">
      <c r="K493" s="7"/>
      <c r="V493" s="7"/>
      <c r="AG493" s="7"/>
      <c r="AR493" s="7"/>
    </row>
    <row r="494">
      <c r="K494" s="7"/>
      <c r="V494" s="7"/>
      <c r="AG494" s="7"/>
      <c r="AR494" s="7"/>
    </row>
    <row r="495">
      <c r="K495" s="7"/>
      <c r="V495" s="7"/>
      <c r="AG495" s="7"/>
      <c r="AR495" s="7"/>
    </row>
    <row r="496">
      <c r="K496" s="7"/>
      <c r="V496" s="7"/>
      <c r="AG496" s="7"/>
      <c r="AR496" s="7"/>
    </row>
    <row r="497">
      <c r="K497" s="7"/>
      <c r="V497" s="7"/>
      <c r="AG497" s="7"/>
      <c r="AR497" s="7"/>
    </row>
    <row r="498">
      <c r="K498" s="7"/>
      <c r="V498" s="7"/>
      <c r="AG498" s="7"/>
      <c r="AR498" s="7"/>
    </row>
    <row r="499">
      <c r="K499" s="7"/>
      <c r="V499" s="7"/>
      <c r="AG499" s="7"/>
      <c r="AR499" s="7"/>
    </row>
    <row r="500">
      <c r="K500" s="7"/>
      <c r="V500" s="7"/>
      <c r="AG500" s="7"/>
      <c r="AR500" s="7"/>
    </row>
    <row r="501">
      <c r="K501" s="7"/>
      <c r="V501" s="7"/>
      <c r="AG501" s="7"/>
      <c r="AR501" s="7"/>
    </row>
    <row r="502">
      <c r="K502" s="7"/>
      <c r="V502" s="7"/>
      <c r="AG502" s="7"/>
      <c r="AR502" s="7"/>
    </row>
    <row r="503">
      <c r="K503" s="7"/>
      <c r="V503" s="7"/>
      <c r="AG503" s="7"/>
      <c r="AR503" s="7"/>
    </row>
    <row r="504">
      <c r="K504" s="7"/>
      <c r="V504" s="7"/>
      <c r="AG504" s="7"/>
      <c r="AR504" s="7"/>
    </row>
    <row r="505">
      <c r="K505" s="7"/>
      <c r="V505" s="7"/>
      <c r="AG505" s="7"/>
      <c r="AR505" s="7"/>
    </row>
    <row r="506">
      <c r="K506" s="7"/>
      <c r="V506" s="7"/>
      <c r="AG506" s="7"/>
      <c r="AR506" s="7"/>
    </row>
    <row r="507">
      <c r="K507" s="7"/>
      <c r="V507" s="7"/>
      <c r="AG507" s="7"/>
      <c r="AR507" s="7"/>
    </row>
    <row r="508">
      <c r="K508" s="7"/>
      <c r="V508" s="7"/>
      <c r="AG508" s="7"/>
      <c r="AR508" s="7"/>
    </row>
    <row r="509">
      <c r="K509" s="7"/>
      <c r="V509" s="7"/>
      <c r="AG509" s="7"/>
      <c r="AR509" s="7"/>
    </row>
    <row r="510">
      <c r="K510" s="7"/>
      <c r="V510" s="7"/>
      <c r="AG510" s="7"/>
      <c r="AR510" s="7"/>
    </row>
    <row r="511">
      <c r="K511" s="7"/>
      <c r="V511" s="7"/>
      <c r="AG511" s="7"/>
      <c r="AR511" s="7"/>
    </row>
    <row r="512">
      <c r="K512" s="7"/>
      <c r="V512" s="7"/>
      <c r="AG512" s="7"/>
      <c r="AR512" s="7"/>
    </row>
    <row r="513">
      <c r="K513" s="7"/>
      <c r="V513" s="7"/>
      <c r="AG513" s="7"/>
      <c r="AR513" s="7"/>
    </row>
    <row r="514">
      <c r="K514" s="7"/>
      <c r="V514" s="7"/>
      <c r="AG514" s="7"/>
      <c r="AR514" s="7"/>
    </row>
    <row r="515">
      <c r="K515" s="7"/>
      <c r="V515" s="7"/>
      <c r="AG515" s="7"/>
      <c r="AR515" s="7"/>
    </row>
    <row r="516">
      <c r="K516" s="7"/>
      <c r="V516" s="7"/>
      <c r="AG516" s="7"/>
      <c r="AR516" s="7"/>
    </row>
    <row r="517">
      <c r="K517" s="7"/>
      <c r="V517" s="7"/>
      <c r="AG517" s="7"/>
      <c r="AR517" s="7"/>
    </row>
    <row r="518">
      <c r="K518" s="7"/>
      <c r="V518" s="7"/>
      <c r="AG518" s="7"/>
      <c r="AR518" s="7"/>
    </row>
    <row r="519">
      <c r="K519" s="7"/>
      <c r="V519" s="7"/>
      <c r="AG519" s="7"/>
      <c r="AR519" s="7"/>
    </row>
    <row r="520">
      <c r="K520" s="7"/>
      <c r="V520" s="7"/>
      <c r="AG520" s="7"/>
      <c r="AR520" s="7"/>
    </row>
    <row r="521">
      <c r="K521" s="7"/>
      <c r="V521" s="7"/>
      <c r="AG521" s="7"/>
      <c r="AR521" s="7"/>
    </row>
    <row r="522">
      <c r="K522" s="7"/>
      <c r="V522" s="7"/>
      <c r="AG522" s="7"/>
      <c r="AR522" s="7"/>
    </row>
    <row r="523">
      <c r="K523" s="7"/>
      <c r="V523" s="7"/>
      <c r="AG523" s="7"/>
      <c r="AR523" s="7"/>
    </row>
    <row r="524">
      <c r="K524" s="7"/>
      <c r="V524" s="7"/>
      <c r="AG524" s="7"/>
      <c r="AR524" s="7"/>
    </row>
    <row r="525">
      <c r="K525" s="7"/>
      <c r="V525" s="7"/>
      <c r="AG525" s="7"/>
      <c r="AR525" s="7"/>
    </row>
    <row r="526">
      <c r="K526" s="7"/>
      <c r="V526" s="7"/>
      <c r="AG526" s="7"/>
      <c r="AR526" s="7"/>
    </row>
    <row r="527">
      <c r="K527" s="7"/>
      <c r="V527" s="7"/>
      <c r="AG527" s="7"/>
      <c r="AR527" s="7"/>
    </row>
    <row r="528">
      <c r="K528" s="7"/>
      <c r="V528" s="7"/>
      <c r="AG528" s="7"/>
      <c r="AR528" s="7"/>
    </row>
    <row r="529">
      <c r="K529" s="7"/>
      <c r="V529" s="7"/>
      <c r="AG529" s="7"/>
      <c r="AR529" s="7"/>
    </row>
    <row r="530">
      <c r="K530" s="7"/>
      <c r="V530" s="7"/>
      <c r="AG530" s="7"/>
      <c r="AR530" s="7"/>
    </row>
    <row r="531">
      <c r="K531" s="7"/>
      <c r="V531" s="7"/>
      <c r="AG531" s="7"/>
      <c r="AR531" s="7"/>
    </row>
    <row r="532">
      <c r="K532" s="7"/>
      <c r="V532" s="7"/>
      <c r="AG532" s="7"/>
      <c r="AR532" s="7"/>
    </row>
    <row r="533">
      <c r="K533" s="7"/>
      <c r="V533" s="7"/>
      <c r="AG533" s="7"/>
      <c r="AR533" s="7"/>
    </row>
    <row r="534">
      <c r="K534" s="7"/>
      <c r="V534" s="7"/>
      <c r="AG534" s="7"/>
      <c r="AR534" s="7"/>
    </row>
    <row r="535">
      <c r="K535" s="7"/>
      <c r="V535" s="7"/>
      <c r="AG535" s="7"/>
      <c r="AR535" s="7"/>
    </row>
    <row r="536">
      <c r="K536" s="7"/>
      <c r="V536" s="7"/>
      <c r="AG536" s="7"/>
      <c r="AR536" s="7"/>
    </row>
    <row r="537">
      <c r="K537" s="7"/>
      <c r="V537" s="7"/>
      <c r="AG537" s="7"/>
      <c r="AR537" s="7"/>
    </row>
    <row r="538">
      <c r="K538" s="7"/>
      <c r="V538" s="7"/>
      <c r="AG538" s="7"/>
      <c r="AR538" s="7"/>
    </row>
    <row r="539">
      <c r="K539" s="7"/>
      <c r="V539" s="7"/>
      <c r="AG539" s="7"/>
      <c r="AR539" s="7"/>
    </row>
    <row r="540">
      <c r="K540" s="7"/>
      <c r="V540" s="7"/>
      <c r="AG540" s="7"/>
      <c r="AR540" s="7"/>
    </row>
    <row r="541">
      <c r="K541" s="7"/>
      <c r="V541" s="7"/>
      <c r="AG541" s="7"/>
      <c r="AR541" s="7"/>
    </row>
    <row r="542">
      <c r="K542" s="7"/>
      <c r="V542" s="7"/>
      <c r="AG542" s="7"/>
      <c r="AR542" s="7"/>
    </row>
    <row r="543">
      <c r="K543" s="7"/>
      <c r="V543" s="7"/>
      <c r="AG543" s="7"/>
      <c r="AR543" s="7"/>
    </row>
    <row r="544">
      <c r="K544" s="7"/>
      <c r="V544" s="7"/>
      <c r="AG544" s="7"/>
      <c r="AR544" s="7"/>
    </row>
    <row r="545">
      <c r="K545" s="7"/>
      <c r="V545" s="7"/>
      <c r="AG545" s="7"/>
      <c r="AR545" s="7"/>
    </row>
    <row r="546">
      <c r="K546" s="7"/>
      <c r="V546" s="7"/>
      <c r="AG546" s="7"/>
      <c r="AR546" s="7"/>
    </row>
    <row r="547">
      <c r="K547" s="7"/>
      <c r="V547" s="7"/>
      <c r="AG547" s="7"/>
      <c r="AR547" s="7"/>
    </row>
    <row r="548">
      <c r="K548" s="7"/>
      <c r="V548" s="7"/>
      <c r="AG548" s="7"/>
      <c r="AR548" s="7"/>
    </row>
    <row r="549">
      <c r="K549" s="7"/>
      <c r="V549" s="7"/>
      <c r="AG549" s="7"/>
      <c r="AR549" s="7"/>
    </row>
    <row r="550">
      <c r="K550" s="7"/>
      <c r="V550" s="7"/>
      <c r="AG550" s="7"/>
      <c r="AR550" s="7"/>
    </row>
    <row r="551">
      <c r="K551" s="7"/>
      <c r="V551" s="7"/>
      <c r="AG551" s="7"/>
      <c r="AR551" s="7"/>
    </row>
    <row r="552">
      <c r="K552" s="7"/>
      <c r="V552" s="7"/>
      <c r="AG552" s="7"/>
      <c r="AR552" s="7"/>
    </row>
    <row r="553">
      <c r="K553" s="7"/>
      <c r="V553" s="7"/>
      <c r="AG553" s="7"/>
      <c r="AR553" s="7"/>
    </row>
    <row r="554">
      <c r="K554" s="7"/>
      <c r="V554" s="7"/>
      <c r="AG554" s="7"/>
      <c r="AR554" s="7"/>
    </row>
    <row r="555">
      <c r="K555" s="7"/>
      <c r="V555" s="7"/>
      <c r="AG555" s="7"/>
      <c r="AR555" s="7"/>
    </row>
    <row r="556">
      <c r="K556" s="7"/>
      <c r="V556" s="7"/>
      <c r="AG556" s="7"/>
      <c r="AR556" s="7"/>
    </row>
    <row r="557">
      <c r="K557" s="7"/>
      <c r="V557" s="7"/>
      <c r="AG557" s="7"/>
      <c r="AR557" s="7"/>
    </row>
    <row r="558">
      <c r="K558" s="7"/>
      <c r="V558" s="7"/>
      <c r="AG558" s="7"/>
      <c r="AR558" s="7"/>
    </row>
    <row r="559">
      <c r="K559" s="7"/>
      <c r="V559" s="7"/>
      <c r="AG559" s="7"/>
      <c r="AR559" s="7"/>
    </row>
    <row r="560">
      <c r="K560" s="7"/>
      <c r="V560" s="7"/>
      <c r="AG560" s="7"/>
      <c r="AR560" s="7"/>
    </row>
    <row r="561">
      <c r="K561" s="7"/>
      <c r="V561" s="7"/>
      <c r="AG561" s="7"/>
      <c r="AR561" s="7"/>
    </row>
    <row r="562">
      <c r="K562" s="7"/>
      <c r="V562" s="7"/>
      <c r="AG562" s="7"/>
      <c r="AR562" s="7"/>
    </row>
    <row r="563">
      <c r="K563" s="7"/>
      <c r="V563" s="7"/>
      <c r="AG563" s="7"/>
      <c r="AR563" s="7"/>
    </row>
    <row r="564">
      <c r="K564" s="7"/>
      <c r="V564" s="7"/>
      <c r="AG564" s="7"/>
      <c r="AR564" s="7"/>
    </row>
    <row r="565">
      <c r="K565" s="7"/>
      <c r="V565" s="7"/>
      <c r="AG565" s="7"/>
      <c r="AR565" s="7"/>
    </row>
    <row r="566">
      <c r="K566" s="7"/>
      <c r="V566" s="7"/>
      <c r="AG566" s="7"/>
      <c r="AR566" s="7"/>
    </row>
    <row r="567">
      <c r="K567" s="7"/>
      <c r="V567" s="7"/>
      <c r="AG567" s="7"/>
      <c r="AR567" s="7"/>
    </row>
    <row r="568">
      <c r="K568" s="7"/>
      <c r="V568" s="7"/>
      <c r="AG568" s="7"/>
      <c r="AR568" s="7"/>
    </row>
    <row r="569">
      <c r="K569" s="7"/>
      <c r="V569" s="7"/>
      <c r="AG569" s="7"/>
      <c r="AR569" s="7"/>
    </row>
    <row r="570">
      <c r="K570" s="7"/>
      <c r="V570" s="7"/>
      <c r="AG570" s="7"/>
      <c r="AR570" s="7"/>
    </row>
    <row r="571">
      <c r="K571" s="7"/>
      <c r="V571" s="7"/>
      <c r="AG571" s="7"/>
      <c r="AR571" s="7"/>
    </row>
    <row r="572">
      <c r="K572" s="7"/>
      <c r="V572" s="7"/>
      <c r="AG572" s="7"/>
      <c r="AR572" s="7"/>
    </row>
    <row r="573">
      <c r="K573" s="7"/>
      <c r="V573" s="7"/>
      <c r="AG573" s="7"/>
      <c r="AR573" s="7"/>
    </row>
    <row r="574">
      <c r="K574" s="7"/>
      <c r="V574" s="7"/>
      <c r="AG574" s="7"/>
      <c r="AR574" s="7"/>
    </row>
    <row r="575">
      <c r="K575" s="7"/>
      <c r="V575" s="7"/>
      <c r="AG575" s="7"/>
      <c r="AR575" s="7"/>
    </row>
    <row r="576">
      <c r="K576" s="7"/>
      <c r="V576" s="7"/>
      <c r="AG576" s="7"/>
      <c r="AR576" s="7"/>
    </row>
    <row r="577">
      <c r="K577" s="7"/>
      <c r="V577" s="7"/>
      <c r="AG577" s="7"/>
      <c r="AR577" s="7"/>
    </row>
    <row r="578">
      <c r="K578" s="7"/>
      <c r="V578" s="7"/>
      <c r="AG578" s="7"/>
      <c r="AR578" s="7"/>
    </row>
    <row r="579">
      <c r="K579" s="7"/>
      <c r="V579" s="7"/>
      <c r="AG579" s="7"/>
      <c r="AR579" s="7"/>
    </row>
    <row r="580">
      <c r="K580" s="7"/>
      <c r="V580" s="7"/>
      <c r="AG580" s="7"/>
      <c r="AR580" s="7"/>
    </row>
    <row r="581">
      <c r="K581" s="7"/>
      <c r="V581" s="7"/>
      <c r="AG581" s="7"/>
      <c r="AR581" s="7"/>
    </row>
    <row r="582">
      <c r="K582" s="7"/>
      <c r="V582" s="7"/>
      <c r="AG582" s="7"/>
      <c r="AR582" s="7"/>
    </row>
    <row r="583">
      <c r="K583" s="7"/>
      <c r="V583" s="7"/>
      <c r="AG583" s="7"/>
      <c r="AR583" s="7"/>
    </row>
    <row r="584">
      <c r="K584" s="7"/>
      <c r="V584" s="7"/>
      <c r="AG584" s="7"/>
      <c r="AR584" s="7"/>
    </row>
    <row r="585">
      <c r="K585" s="7"/>
      <c r="V585" s="7"/>
      <c r="AG585" s="7"/>
      <c r="AR585" s="7"/>
    </row>
    <row r="586">
      <c r="K586" s="7"/>
      <c r="V586" s="7"/>
      <c r="AG586" s="7"/>
      <c r="AR586" s="7"/>
    </row>
    <row r="587">
      <c r="K587" s="7"/>
      <c r="V587" s="7"/>
      <c r="AG587" s="7"/>
      <c r="AR587" s="7"/>
    </row>
    <row r="588">
      <c r="K588" s="7"/>
      <c r="V588" s="7"/>
      <c r="AG588" s="7"/>
      <c r="AR588" s="7"/>
    </row>
    <row r="589">
      <c r="K589" s="7"/>
      <c r="V589" s="7"/>
      <c r="AG589" s="7"/>
      <c r="AR589" s="7"/>
    </row>
    <row r="590">
      <c r="K590" s="7"/>
      <c r="V590" s="7"/>
      <c r="AG590" s="7"/>
      <c r="AR590" s="7"/>
    </row>
    <row r="591">
      <c r="K591" s="7"/>
      <c r="V591" s="7"/>
      <c r="AG591" s="7"/>
      <c r="AR591" s="7"/>
    </row>
    <row r="592">
      <c r="K592" s="7"/>
      <c r="V592" s="7"/>
      <c r="AG592" s="7"/>
      <c r="AR592" s="7"/>
    </row>
    <row r="593">
      <c r="K593" s="7"/>
      <c r="V593" s="7"/>
      <c r="AG593" s="7"/>
      <c r="AR593" s="7"/>
    </row>
    <row r="594">
      <c r="K594" s="7"/>
      <c r="V594" s="7"/>
      <c r="AG594" s="7"/>
      <c r="AR594" s="7"/>
    </row>
    <row r="595">
      <c r="K595" s="7"/>
      <c r="V595" s="7"/>
      <c r="AG595" s="7"/>
      <c r="AR595" s="7"/>
    </row>
    <row r="596">
      <c r="K596" s="7"/>
      <c r="V596" s="7"/>
      <c r="AG596" s="7"/>
      <c r="AR596" s="7"/>
    </row>
    <row r="597">
      <c r="K597" s="7"/>
      <c r="V597" s="7"/>
      <c r="AG597" s="7"/>
      <c r="AR597" s="7"/>
    </row>
    <row r="598">
      <c r="K598" s="7"/>
      <c r="V598" s="7"/>
      <c r="AG598" s="7"/>
      <c r="AR598" s="7"/>
    </row>
    <row r="599">
      <c r="K599" s="7"/>
      <c r="V599" s="7"/>
      <c r="AG599" s="7"/>
      <c r="AR599" s="7"/>
    </row>
    <row r="600">
      <c r="K600" s="7"/>
      <c r="V600" s="7"/>
      <c r="AG600" s="7"/>
      <c r="AR600" s="7"/>
    </row>
    <row r="601">
      <c r="K601" s="7"/>
      <c r="V601" s="7"/>
      <c r="AG601" s="7"/>
      <c r="AR601" s="7"/>
    </row>
    <row r="602">
      <c r="K602" s="7"/>
      <c r="V602" s="7"/>
      <c r="AG602" s="7"/>
      <c r="AR602" s="7"/>
    </row>
    <row r="603">
      <c r="K603" s="7"/>
      <c r="V603" s="7"/>
      <c r="AG603" s="7"/>
      <c r="AR603" s="7"/>
    </row>
    <row r="604">
      <c r="K604" s="7"/>
      <c r="V604" s="7"/>
      <c r="AG604" s="7"/>
      <c r="AR604" s="7"/>
    </row>
    <row r="605">
      <c r="K605" s="7"/>
      <c r="V605" s="7"/>
      <c r="AG605" s="7"/>
      <c r="AR605" s="7"/>
    </row>
    <row r="606">
      <c r="K606" s="7"/>
      <c r="V606" s="7"/>
      <c r="AG606" s="7"/>
      <c r="AR606" s="7"/>
    </row>
    <row r="607">
      <c r="K607" s="7"/>
      <c r="V607" s="7"/>
      <c r="AG607" s="7"/>
      <c r="AR607" s="7"/>
    </row>
    <row r="608">
      <c r="K608" s="7"/>
      <c r="V608" s="7"/>
      <c r="AG608" s="7"/>
      <c r="AR608" s="7"/>
    </row>
    <row r="609">
      <c r="K609" s="7"/>
      <c r="V609" s="7"/>
      <c r="AG609" s="7"/>
      <c r="AR609" s="7"/>
    </row>
    <row r="610">
      <c r="K610" s="7"/>
      <c r="V610" s="7"/>
      <c r="AG610" s="7"/>
      <c r="AR610" s="7"/>
    </row>
    <row r="611">
      <c r="K611" s="7"/>
      <c r="V611" s="7"/>
      <c r="AG611" s="7"/>
      <c r="AR611" s="7"/>
    </row>
    <row r="612">
      <c r="K612" s="7"/>
      <c r="V612" s="7"/>
      <c r="AG612" s="7"/>
      <c r="AR612" s="7"/>
    </row>
    <row r="613">
      <c r="K613" s="7"/>
      <c r="V613" s="7"/>
      <c r="AG613" s="7"/>
      <c r="AR613" s="7"/>
    </row>
    <row r="614">
      <c r="K614" s="7"/>
      <c r="V614" s="7"/>
      <c r="AG614" s="7"/>
      <c r="AR614" s="7"/>
    </row>
    <row r="615">
      <c r="K615" s="7"/>
      <c r="V615" s="7"/>
      <c r="AG615" s="7"/>
      <c r="AR615" s="7"/>
    </row>
    <row r="616">
      <c r="K616" s="7"/>
      <c r="V616" s="7"/>
      <c r="AG616" s="7"/>
      <c r="AR616" s="7"/>
    </row>
    <row r="617">
      <c r="K617" s="7"/>
      <c r="V617" s="7"/>
      <c r="AG617" s="7"/>
      <c r="AR617" s="7"/>
    </row>
    <row r="618">
      <c r="K618" s="7"/>
      <c r="V618" s="7"/>
      <c r="AG618" s="7"/>
      <c r="AR618" s="7"/>
    </row>
    <row r="619">
      <c r="K619" s="7"/>
      <c r="V619" s="7"/>
      <c r="AG619" s="7"/>
      <c r="AR619" s="7"/>
    </row>
    <row r="620">
      <c r="K620" s="7"/>
      <c r="V620" s="7"/>
      <c r="AG620" s="7"/>
      <c r="AR620" s="7"/>
    </row>
    <row r="621">
      <c r="K621" s="7"/>
      <c r="V621" s="7"/>
      <c r="AG621" s="7"/>
      <c r="AR621" s="7"/>
    </row>
    <row r="622">
      <c r="K622" s="7"/>
      <c r="V622" s="7"/>
      <c r="AG622" s="7"/>
      <c r="AR622" s="7"/>
    </row>
    <row r="623">
      <c r="K623" s="7"/>
      <c r="V623" s="7"/>
      <c r="AG623" s="7"/>
      <c r="AR623" s="7"/>
    </row>
    <row r="624">
      <c r="K624" s="7"/>
      <c r="V624" s="7"/>
      <c r="AG624" s="7"/>
      <c r="AR624" s="7"/>
    </row>
    <row r="625">
      <c r="K625" s="7"/>
      <c r="V625" s="7"/>
      <c r="AG625" s="7"/>
      <c r="AR625" s="7"/>
    </row>
    <row r="626">
      <c r="K626" s="7"/>
      <c r="V626" s="7"/>
      <c r="AG626" s="7"/>
      <c r="AR626" s="7"/>
    </row>
    <row r="627">
      <c r="K627" s="7"/>
      <c r="V627" s="7"/>
      <c r="AG627" s="7"/>
      <c r="AR627" s="7"/>
    </row>
    <row r="628">
      <c r="K628" s="7"/>
      <c r="V628" s="7"/>
      <c r="AG628" s="7"/>
      <c r="AR628" s="7"/>
    </row>
    <row r="629">
      <c r="K629" s="7"/>
      <c r="V629" s="7"/>
      <c r="AG629" s="7"/>
      <c r="AR629" s="7"/>
    </row>
    <row r="630">
      <c r="K630" s="7"/>
      <c r="V630" s="7"/>
      <c r="AG630" s="7"/>
      <c r="AR630" s="7"/>
    </row>
    <row r="631">
      <c r="K631" s="7"/>
      <c r="V631" s="7"/>
      <c r="AG631" s="7"/>
      <c r="AR631" s="7"/>
    </row>
    <row r="632">
      <c r="K632" s="7"/>
      <c r="V632" s="7"/>
      <c r="AG632" s="7"/>
      <c r="AR632" s="7"/>
    </row>
    <row r="633">
      <c r="K633" s="7"/>
      <c r="V633" s="7"/>
      <c r="AG633" s="7"/>
      <c r="AR633" s="7"/>
    </row>
    <row r="634">
      <c r="K634" s="7"/>
      <c r="V634" s="7"/>
      <c r="AG634" s="7"/>
      <c r="AR634" s="7"/>
    </row>
    <row r="635">
      <c r="K635" s="7"/>
      <c r="V635" s="7"/>
      <c r="AG635" s="7"/>
      <c r="AR635" s="7"/>
    </row>
    <row r="636">
      <c r="K636" s="7"/>
      <c r="V636" s="7"/>
      <c r="AG636" s="7"/>
      <c r="AR636" s="7"/>
    </row>
    <row r="637">
      <c r="K637" s="7"/>
      <c r="V637" s="7"/>
      <c r="AG637" s="7"/>
      <c r="AR637" s="7"/>
    </row>
    <row r="638">
      <c r="K638" s="7"/>
      <c r="V638" s="7"/>
      <c r="AG638" s="7"/>
      <c r="AR638" s="7"/>
    </row>
    <row r="639">
      <c r="K639" s="7"/>
      <c r="V639" s="7"/>
      <c r="AG639" s="7"/>
      <c r="AR639" s="7"/>
    </row>
    <row r="640">
      <c r="K640" s="7"/>
      <c r="V640" s="7"/>
      <c r="AG640" s="7"/>
      <c r="AR640" s="7"/>
    </row>
    <row r="641">
      <c r="K641" s="7"/>
      <c r="V641" s="7"/>
      <c r="AG641" s="7"/>
      <c r="AR641" s="7"/>
    </row>
    <row r="642">
      <c r="K642" s="7"/>
      <c r="V642" s="7"/>
      <c r="AG642" s="7"/>
      <c r="AR642" s="7"/>
    </row>
    <row r="643">
      <c r="K643" s="7"/>
      <c r="V643" s="7"/>
      <c r="AG643" s="7"/>
      <c r="AR643" s="7"/>
    </row>
    <row r="644">
      <c r="K644" s="7"/>
      <c r="V644" s="7"/>
      <c r="AG644" s="7"/>
      <c r="AR644" s="7"/>
    </row>
    <row r="645">
      <c r="K645" s="7"/>
      <c r="V645" s="7"/>
      <c r="AG645" s="7"/>
      <c r="AR645" s="7"/>
    </row>
    <row r="646">
      <c r="K646" s="7"/>
      <c r="V646" s="7"/>
      <c r="AG646" s="7"/>
      <c r="AR646" s="7"/>
    </row>
    <row r="647">
      <c r="K647" s="7"/>
      <c r="V647" s="7"/>
      <c r="AG647" s="7"/>
      <c r="AR647" s="7"/>
    </row>
    <row r="648">
      <c r="K648" s="7"/>
      <c r="V648" s="7"/>
      <c r="AG648" s="7"/>
      <c r="AR648" s="7"/>
    </row>
    <row r="649">
      <c r="K649" s="7"/>
      <c r="V649" s="7"/>
      <c r="AG649" s="7"/>
      <c r="AR649" s="7"/>
    </row>
    <row r="650">
      <c r="K650" s="7"/>
      <c r="V650" s="7"/>
      <c r="AG650" s="7"/>
      <c r="AR650" s="7"/>
    </row>
    <row r="651">
      <c r="K651" s="7"/>
      <c r="V651" s="7"/>
      <c r="AG651" s="7"/>
      <c r="AR651" s="7"/>
    </row>
    <row r="652">
      <c r="K652" s="7"/>
      <c r="V652" s="7"/>
      <c r="AG652" s="7"/>
      <c r="AR652" s="7"/>
    </row>
    <row r="653">
      <c r="K653" s="7"/>
      <c r="V653" s="7"/>
      <c r="AG653" s="7"/>
      <c r="AR653" s="7"/>
    </row>
    <row r="654">
      <c r="K654" s="7"/>
      <c r="V654" s="7"/>
      <c r="AG654" s="7"/>
      <c r="AR654" s="7"/>
    </row>
    <row r="655">
      <c r="K655" s="7"/>
      <c r="V655" s="7"/>
      <c r="AG655" s="7"/>
      <c r="AR655" s="7"/>
    </row>
    <row r="656">
      <c r="K656" s="7"/>
      <c r="V656" s="7"/>
      <c r="AG656" s="7"/>
      <c r="AR656" s="7"/>
    </row>
    <row r="657">
      <c r="K657" s="7"/>
      <c r="V657" s="7"/>
      <c r="AG657" s="7"/>
      <c r="AR657" s="7"/>
    </row>
    <row r="658">
      <c r="K658" s="7"/>
      <c r="V658" s="7"/>
      <c r="AG658" s="7"/>
      <c r="AR658" s="7"/>
    </row>
    <row r="659">
      <c r="K659" s="7"/>
      <c r="V659" s="7"/>
      <c r="AG659" s="7"/>
      <c r="AR659" s="7"/>
    </row>
    <row r="660">
      <c r="K660" s="7"/>
      <c r="V660" s="7"/>
      <c r="AG660" s="7"/>
      <c r="AR660" s="7"/>
    </row>
    <row r="661">
      <c r="K661" s="7"/>
      <c r="V661" s="7"/>
      <c r="AG661" s="7"/>
      <c r="AR661" s="7"/>
    </row>
    <row r="662">
      <c r="K662" s="7"/>
      <c r="V662" s="7"/>
      <c r="AG662" s="7"/>
      <c r="AR662" s="7"/>
    </row>
    <row r="663">
      <c r="K663" s="7"/>
      <c r="V663" s="7"/>
      <c r="AG663" s="7"/>
      <c r="AR663" s="7"/>
    </row>
    <row r="664">
      <c r="K664" s="7"/>
      <c r="V664" s="7"/>
      <c r="AG664" s="7"/>
      <c r="AR664" s="7"/>
    </row>
    <row r="665">
      <c r="K665" s="7"/>
      <c r="V665" s="7"/>
      <c r="AG665" s="7"/>
      <c r="AR665" s="7"/>
    </row>
    <row r="666">
      <c r="K666" s="7"/>
      <c r="V666" s="7"/>
      <c r="AG666" s="7"/>
      <c r="AR666" s="7"/>
    </row>
    <row r="667">
      <c r="K667" s="7"/>
      <c r="V667" s="7"/>
      <c r="AG667" s="7"/>
      <c r="AR667" s="7"/>
    </row>
    <row r="668">
      <c r="K668" s="7"/>
      <c r="V668" s="7"/>
      <c r="AG668" s="7"/>
      <c r="AR668" s="7"/>
    </row>
    <row r="669">
      <c r="K669" s="7"/>
      <c r="V669" s="7"/>
      <c r="AG669" s="7"/>
      <c r="AR669" s="7"/>
    </row>
    <row r="670">
      <c r="K670" s="7"/>
      <c r="V670" s="7"/>
      <c r="AG670" s="7"/>
      <c r="AR670" s="7"/>
    </row>
    <row r="671">
      <c r="K671" s="7"/>
      <c r="V671" s="7"/>
      <c r="AG671" s="7"/>
      <c r="AR671" s="7"/>
    </row>
    <row r="672">
      <c r="K672" s="7"/>
      <c r="V672" s="7"/>
      <c r="AG672" s="7"/>
      <c r="AR672" s="7"/>
    </row>
    <row r="673">
      <c r="K673" s="7"/>
      <c r="V673" s="7"/>
      <c r="AG673" s="7"/>
      <c r="AR673" s="7"/>
    </row>
    <row r="674">
      <c r="K674" s="7"/>
      <c r="V674" s="7"/>
      <c r="AG674" s="7"/>
      <c r="AR674" s="7"/>
    </row>
    <row r="675">
      <c r="K675" s="7"/>
      <c r="V675" s="7"/>
      <c r="AG675" s="7"/>
      <c r="AR675" s="7"/>
    </row>
    <row r="676">
      <c r="K676" s="7"/>
      <c r="V676" s="7"/>
      <c r="AG676" s="7"/>
      <c r="AR676" s="7"/>
    </row>
    <row r="677">
      <c r="K677" s="7"/>
      <c r="V677" s="7"/>
      <c r="AG677" s="7"/>
      <c r="AR677" s="7"/>
    </row>
    <row r="678">
      <c r="K678" s="7"/>
      <c r="V678" s="7"/>
      <c r="AG678" s="7"/>
      <c r="AR678" s="7"/>
    </row>
    <row r="679">
      <c r="K679" s="7"/>
      <c r="V679" s="7"/>
      <c r="AG679" s="7"/>
      <c r="AR679" s="7"/>
    </row>
    <row r="680">
      <c r="K680" s="7"/>
      <c r="V680" s="7"/>
      <c r="AG680" s="7"/>
      <c r="AR680" s="7"/>
    </row>
    <row r="681">
      <c r="K681" s="7"/>
      <c r="V681" s="7"/>
      <c r="AG681" s="7"/>
      <c r="AR681" s="7"/>
    </row>
    <row r="682">
      <c r="K682" s="7"/>
      <c r="V682" s="7"/>
      <c r="AG682" s="7"/>
      <c r="AR682" s="7"/>
    </row>
    <row r="683">
      <c r="K683" s="7"/>
      <c r="V683" s="7"/>
      <c r="AG683" s="7"/>
      <c r="AR683" s="7"/>
    </row>
    <row r="684">
      <c r="K684" s="7"/>
      <c r="V684" s="7"/>
      <c r="AG684" s="7"/>
      <c r="AR684" s="7"/>
    </row>
    <row r="685">
      <c r="K685" s="7"/>
      <c r="V685" s="7"/>
      <c r="AG685" s="7"/>
      <c r="AR685" s="7"/>
    </row>
    <row r="686">
      <c r="K686" s="7"/>
      <c r="V686" s="7"/>
      <c r="AG686" s="7"/>
      <c r="AR686" s="7"/>
    </row>
    <row r="687">
      <c r="K687" s="7"/>
      <c r="V687" s="7"/>
      <c r="AG687" s="7"/>
      <c r="AR687" s="7"/>
    </row>
    <row r="688">
      <c r="K688" s="7"/>
      <c r="V688" s="7"/>
      <c r="AG688" s="7"/>
      <c r="AR688" s="7"/>
    </row>
    <row r="689">
      <c r="K689" s="7"/>
      <c r="V689" s="7"/>
      <c r="AG689" s="7"/>
      <c r="AR689" s="7"/>
    </row>
    <row r="690">
      <c r="K690" s="7"/>
      <c r="V690" s="7"/>
      <c r="AG690" s="7"/>
      <c r="AR690" s="7"/>
    </row>
    <row r="691">
      <c r="K691" s="7"/>
      <c r="V691" s="7"/>
      <c r="AG691" s="7"/>
      <c r="AR691" s="7"/>
    </row>
    <row r="692">
      <c r="K692" s="7"/>
      <c r="V692" s="7"/>
      <c r="AG692" s="7"/>
      <c r="AR692" s="7"/>
    </row>
    <row r="693">
      <c r="K693" s="7"/>
      <c r="V693" s="7"/>
      <c r="AG693" s="7"/>
      <c r="AR693" s="7"/>
    </row>
    <row r="694">
      <c r="K694" s="7"/>
      <c r="V694" s="7"/>
      <c r="AG694" s="7"/>
      <c r="AR694" s="7"/>
    </row>
    <row r="695">
      <c r="K695" s="7"/>
      <c r="V695" s="7"/>
      <c r="AG695" s="7"/>
      <c r="AR695" s="7"/>
    </row>
    <row r="696">
      <c r="K696" s="7"/>
      <c r="V696" s="7"/>
      <c r="AG696" s="7"/>
      <c r="AR696" s="7"/>
    </row>
    <row r="697">
      <c r="K697" s="7"/>
      <c r="V697" s="7"/>
      <c r="AG697" s="7"/>
      <c r="AR697" s="7"/>
    </row>
    <row r="698">
      <c r="K698" s="7"/>
      <c r="V698" s="7"/>
      <c r="AG698" s="7"/>
      <c r="AR698" s="7"/>
    </row>
    <row r="699">
      <c r="K699" s="7"/>
      <c r="V699" s="7"/>
      <c r="AG699" s="7"/>
      <c r="AR699" s="7"/>
    </row>
    <row r="700">
      <c r="K700" s="7"/>
      <c r="V700" s="7"/>
      <c r="AG700" s="7"/>
      <c r="AR700" s="7"/>
    </row>
    <row r="701">
      <c r="K701" s="7"/>
      <c r="V701" s="7"/>
      <c r="AG701" s="7"/>
      <c r="AR701" s="7"/>
    </row>
    <row r="702">
      <c r="K702" s="7"/>
      <c r="V702" s="7"/>
      <c r="AG702" s="7"/>
      <c r="AR702" s="7"/>
    </row>
    <row r="703">
      <c r="K703" s="7"/>
      <c r="V703" s="7"/>
      <c r="AG703" s="7"/>
      <c r="AR703" s="7"/>
    </row>
    <row r="704">
      <c r="K704" s="7"/>
      <c r="V704" s="7"/>
      <c r="AG704" s="7"/>
      <c r="AR704" s="7"/>
    </row>
    <row r="705">
      <c r="K705" s="7"/>
      <c r="V705" s="7"/>
      <c r="AG705" s="7"/>
      <c r="AR705" s="7"/>
    </row>
    <row r="706">
      <c r="K706" s="7"/>
      <c r="V706" s="7"/>
      <c r="AG706" s="7"/>
      <c r="AR706" s="7"/>
    </row>
    <row r="707">
      <c r="K707" s="7"/>
      <c r="V707" s="7"/>
      <c r="AG707" s="7"/>
      <c r="AR707" s="7"/>
    </row>
    <row r="708">
      <c r="K708" s="7"/>
      <c r="V708" s="7"/>
      <c r="AG708" s="7"/>
      <c r="AR708" s="7"/>
    </row>
    <row r="709">
      <c r="K709" s="7"/>
      <c r="V709" s="7"/>
      <c r="AG709" s="7"/>
      <c r="AR709" s="7"/>
    </row>
    <row r="710">
      <c r="K710" s="7"/>
      <c r="V710" s="7"/>
      <c r="AG710" s="7"/>
      <c r="AR710" s="7"/>
    </row>
    <row r="711">
      <c r="K711" s="7"/>
      <c r="V711" s="7"/>
      <c r="AG711" s="7"/>
      <c r="AR711" s="7"/>
    </row>
    <row r="712">
      <c r="K712" s="7"/>
      <c r="V712" s="7"/>
      <c r="AG712" s="7"/>
      <c r="AR712" s="7"/>
    </row>
    <row r="713">
      <c r="K713" s="7"/>
      <c r="V713" s="7"/>
      <c r="AG713" s="7"/>
      <c r="AR713" s="7"/>
    </row>
    <row r="714">
      <c r="K714" s="7"/>
      <c r="V714" s="7"/>
      <c r="AG714" s="7"/>
      <c r="AR714" s="7"/>
    </row>
    <row r="715">
      <c r="K715" s="7"/>
      <c r="V715" s="7"/>
      <c r="AG715" s="7"/>
      <c r="AR715" s="7"/>
    </row>
    <row r="716">
      <c r="K716" s="7"/>
      <c r="V716" s="7"/>
      <c r="AG716" s="7"/>
      <c r="AR716" s="7"/>
    </row>
    <row r="717">
      <c r="K717" s="7"/>
      <c r="V717" s="7"/>
      <c r="AG717" s="7"/>
      <c r="AR717" s="7"/>
    </row>
    <row r="718">
      <c r="K718" s="7"/>
      <c r="V718" s="7"/>
      <c r="AG718" s="7"/>
      <c r="AR718" s="7"/>
    </row>
    <row r="719">
      <c r="K719" s="7"/>
      <c r="V719" s="7"/>
      <c r="AG719" s="7"/>
      <c r="AR719" s="7"/>
    </row>
    <row r="720">
      <c r="K720" s="7"/>
      <c r="V720" s="7"/>
      <c r="AG720" s="7"/>
      <c r="AR720" s="7"/>
    </row>
    <row r="721">
      <c r="K721" s="7"/>
      <c r="V721" s="7"/>
      <c r="AG721" s="7"/>
      <c r="AR721" s="7"/>
    </row>
    <row r="722">
      <c r="K722" s="7"/>
      <c r="V722" s="7"/>
      <c r="AG722" s="7"/>
      <c r="AR722" s="7"/>
    </row>
    <row r="723">
      <c r="K723" s="7"/>
      <c r="V723" s="7"/>
      <c r="AG723" s="7"/>
      <c r="AR723" s="7"/>
    </row>
    <row r="724">
      <c r="K724" s="7"/>
      <c r="V724" s="7"/>
      <c r="AG724" s="7"/>
      <c r="AR724" s="7"/>
    </row>
    <row r="725">
      <c r="K725" s="7"/>
      <c r="V725" s="7"/>
      <c r="AG725" s="7"/>
      <c r="AR725" s="7"/>
    </row>
    <row r="726">
      <c r="K726" s="7"/>
      <c r="V726" s="7"/>
      <c r="AG726" s="7"/>
      <c r="AR726" s="7"/>
    </row>
    <row r="727">
      <c r="K727" s="7"/>
      <c r="V727" s="7"/>
      <c r="AG727" s="7"/>
      <c r="AR727" s="7"/>
    </row>
    <row r="728">
      <c r="K728" s="7"/>
      <c r="V728" s="7"/>
      <c r="AG728" s="7"/>
      <c r="AR728" s="7"/>
    </row>
    <row r="729">
      <c r="K729" s="7"/>
      <c r="V729" s="7"/>
      <c r="AG729" s="7"/>
      <c r="AR729" s="7"/>
    </row>
    <row r="730">
      <c r="K730" s="7"/>
      <c r="V730" s="7"/>
      <c r="AG730" s="7"/>
      <c r="AR730" s="7"/>
    </row>
    <row r="731">
      <c r="K731" s="7"/>
      <c r="V731" s="7"/>
      <c r="AG731" s="7"/>
      <c r="AR731" s="7"/>
    </row>
    <row r="732">
      <c r="K732" s="7"/>
      <c r="V732" s="7"/>
      <c r="AG732" s="7"/>
      <c r="AR732" s="7"/>
    </row>
    <row r="733">
      <c r="K733" s="7"/>
      <c r="V733" s="7"/>
      <c r="AG733" s="7"/>
      <c r="AR733" s="7"/>
    </row>
    <row r="734">
      <c r="K734" s="7"/>
      <c r="V734" s="7"/>
      <c r="AG734" s="7"/>
      <c r="AR734" s="7"/>
    </row>
    <row r="735">
      <c r="K735" s="7"/>
      <c r="V735" s="7"/>
      <c r="AG735" s="7"/>
      <c r="AR735" s="7"/>
    </row>
    <row r="736">
      <c r="K736" s="7"/>
      <c r="V736" s="7"/>
      <c r="AG736" s="7"/>
      <c r="AR736" s="7"/>
    </row>
    <row r="737">
      <c r="K737" s="7"/>
      <c r="V737" s="7"/>
      <c r="AG737" s="7"/>
      <c r="AR737" s="7"/>
    </row>
    <row r="738">
      <c r="K738" s="7"/>
      <c r="V738" s="7"/>
      <c r="AG738" s="7"/>
      <c r="AR738" s="7"/>
    </row>
    <row r="739">
      <c r="K739" s="7"/>
      <c r="V739" s="7"/>
      <c r="AG739" s="7"/>
      <c r="AR739" s="7"/>
    </row>
    <row r="740">
      <c r="K740" s="7"/>
      <c r="V740" s="7"/>
      <c r="AG740" s="7"/>
      <c r="AR740" s="7"/>
    </row>
    <row r="741">
      <c r="K741" s="7"/>
      <c r="V741" s="7"/>
      <c r="AG741" s="7"/>
      <c r="AR741" s="7"/>
    </row>
    <row r="742">
      <c r="K742" s="7"/>
      <c r="V742" s="7"/>
      <c r="AG742" s="7"/>
      <c r="AR742" s="7"/>
    </row>
    <row r="743">
      <c r="K743" s="7"/>
      <c r="V743" s="7"/>
      <c r="AG743" s="7"/>
      <c r="AR743" s="7"/>
    </row>
    <row r="744">
      <c r="K744" s="7"/>
      <c r="V744" s="7"/>
      <c r="AG744" s="7"/>
      <c r="AR744" s="7"/>
    </row>
    <row r="745">
      <c r="K745" s="7"/>
      <c r="V745" s="7"/>
      <c r="AG745" s="7"/>
      <c r="AR745" s="7"/>
    </row>
    <row r="746">
      <c r="K746" s="7"/>
      <c r="V746" s="7"/>
      <c r="AG746" s="7"/>
      <c r="AR746" s="7"/>
    </row>
    <row r="747">
      <c r="K747" s="7"/>
      <c r="V747" s="7"/>
      <c r="AG747" s="7"/>
      <c r="AR747" s="7"/>
    </row>
    <row r="748">
      <c r="K748" s="7"/>
      <c r="V748" s="7"/>
      <c r="AG748" s="7"/>
      <c r="AR748" s="7"/>
    </row>
    <row r="749">
      <c r="K749" s="7"/>
      <c r="V749" s="7"/>
      <c r="AG749" s="7"/>
      <c r="AR749" s="7"/>
    </row>
    <row r="750">
      <c r="K750" s="7"/>
      <c r="V750" s="7"/>
      <c r="AG750" s="7"/>
      <c r="AR750" s="7"/>
    </row>
    <row r="751">
      <c r="K751" s="7"/>
      <c r="V751" s="7"/>
      <c r="AG751" s="7"/>
      <c r="AR751" s="7"/>
    </row>
    <row r="752">
      <c r="K752" s="7"/>
      <c r="V752" s="7"/>
      <c r="AG752" s="7"/>
      <c r="AR752" s="7"/>
    </row>
    <row r="753">
      <c r="K753" s="7"/>
      <c r="V753" s="7"/>
      <c r="AG753" s="7"/>
      <c r="AR753" s="7"/>
    </row>
    <row r="754">
      <c r="K754" s="7"/>
      <c r="V754" s="7"/>
      <c r="AG754" s="7"/>
      <c r="AR754" s="7"/>
    </row>
    <row r="755">
      <c r="K755" s="7"/>
      <c r="V755" s="7"/>
      <c r="AG755" s="7"/>
      <c r="AR755" s="7"/>
    </row>
    <row r="756">
      <c r="K756" s="7"/>
      <c r="V756" s="7"/>
      <c r="AG756" s="7"/>
      <c r="AR756" s="7"/>
    </row>
    <row r="757">
      <c r="K757" s="7"/>
      <c r="V757" s="7"/>
      <c r="AG757" s="7"/>
      <c r="AR757" s="7"/>
    </row>
    <row r="758">
      <c r="K758" s="7"/>
      <c r="V758" s="7"/>
      <c r="AG758" s="7"/>
      <c r="AR758" s="7"/>
    </row>
    <row r="759">
      <c r="K759" s="7"/>
      <c r="V759" s="7"/>
      <c r="AG759" s="7"/>
      <c r="AR759" s="7"/>
    </row>
    <row r="760">
      <c r="K760" s="7"/>
      <c r="V760" s="7"/>
      <c r="AG760" s="7"/>
      <c r="AR760" s="7"/>
    </row>
    <row r="761">
      <c r="K761" s="7"/>
      <c r="V761" s="7"/>
      <c r="AG761" s="7"/>
      <c r="AR761" s="7"/>
    </row>
    <row r="762">
      <c r="K762" s="7"/>
      <c r="V762" s="7"/>
      <c r="AG762" s="7"/>
      <c r="AR762" s="7"/>
    </row>
    <row r="763">
      <c r="K763" s="7"/>
      <c r="V763" s="7"/>
      <c r="AG763" s="7"/>
      <c r="AR763" s="7"/>
    </row>
    <row r="764">
      <c r="K764" s="7"/>
      <c r="V764" s="7"/>
      <c r="AG764" s="7"/>
      <c r="AR764" s="7"/>
    </row>
    <row r="765">
      <c r="K765" s="7"/>
      <c r="V765" s="7"/>
      <c r="AG765" s="7"/>
      <c r="AR765" s="7"/>
    </row>
    <row r="766">
      <c r="K766" s="7"/>
      <c r="V766" s="7"/>
      <c r="AG766" s="7"/>
      <c r="AR766" s="7"/>
    </row>
    <row r="767">
      <c r="K767" s="7"/>
      <c r="V767" s="7"/>
      <c r="AG767" s="7"/>
      <c r="AR767" s="7"/>
    </row>
    <row r="768">
      <c r="K768" s="7"/>
      <c r="V768" s="7"/>
      <c r="AG768" s="7"/>
      <c r="AR768" s="7"/>
    </row>
    <row r="769">
      <c r="K769" s="7"/>
      <c r="V769" s="7"/>
      <c r="AG769" s="7"/>
      <c r="AR769" s="7"/>
    </row>
    <row r="770">
      <c r="K770" s="7"/>
      <c r="V770" s="7"/>
      <c r="AG770" s="7"/>
      <c r="AR770" s="7"/>
    </row>
    <row r="771">
      <c r="K771" s="7"/>
      <c r="V771" s="7"/>
      <c r="AG771" s="7"/>
      <c r="AR771" s="7"/>
    </row>
    <row r="772">
      <c r="K772" s="7"/>
      <c r="V772" s="7"/>
      <c r="AG772" s="7"/>
      <c r="AR772" s="7"/>
    </row>
    <row r="773">
      <c r="K773" s="7"/>
      <c r="V773" s="7"/>
      <c r="AG773" s="7"/>
      <c r="AR773" s="7"/>
    </row>
    <row r="774">
      <c r="K774" s="7"/>
      <c r="V774" s="7"/>
      <c r="AG774" s="7"/>
      <c r="AR774" s="7"/>
    </row>
    <row r="775">
      <c r="K775" s="7"/>
      <c r="V775" s="7"/>
      <c r="AG775" s="7"/>
      <c r="AR775" s="7"/>
    </row>
    <row r="776">
      <c r="K776" s="7"/>
      <c r="V776" s="7"/>
      <c r="AG776" s="7"/>
      <c r="AR776" s="7"/>
    </row>
    <row r="777">
      <c r="K777" s="7"/>
      <c r="V777" s="7"/>
      <c r="AG777" s="7"/>
      <c r="AR777" s="7"/>
    </row>
    <row r="778">
      <c r="K778" s="7"/>
      <c r="V778" s="7"/>
      <c r="AG778" s="7"/>
      <c r="AR778" s="7"/>
    </row>
    <row r="779">
      <c r="K779" s="7"/>
      <c r="V779" s="7"/>
      <c r="AG779" s="7"/>
      <c r="AR779" s="7"/>
    </row>
    <row r="780">
      <c r="K780" s="7"/>
      <c r="V780" s="7"/>
      <c r="AG780" s="7"/>
      <c r="AR780" s="7"/>
    </row>
    <row r="781">
      <c r="K781" s="7"/>
      <c r="V781" s="7"/>
      <c r="AG781" s="7"/>
      <c r="AR781" s="7"/>
    </row>
    <row r="782">
      <c r="K782" s="7"/>
      <c r="V782" s="7"/>
      <c r="AG782" s="7"/>
      <c r="AR782" s="7"/>
    </row>
    <row r="783">
      <c r="K783" s="7"/>
      <c r="V783" s="7"/>
      <c r="AG783" s="7"/>
      <c r="AR783" s="7"/>
    </row>
    <row r="784">
      <c r="K784" s="7"/>
      <c r="V784" s="7"/>
      <c r="AG784" s="7"/>
      <c r="AR784" s="7"/>
    </row>
    <row r="785">
      <c r="K785" s="7"/>
      <c r="V785" s="7"/>
      <c r="AG785" s="7"/>
      <c r="AR785" s="7"/>
    </row>
    <row r="786">
      <c r="K786" s="7"/>
      <c r="V786" s="7"/>
      <c r="AG786" s="7"/>
      <c r="AR786" s="7"/>
    </row>
    <row r="787">
      <c r="K787" s="7"/>
      <c r="V787" s="7"/>
      <c r="AG787" s="7"/>
      <c r="AR787" s="7"/>
    </row>
    <row r="788">
      <c r="K788" s="7"/>
      <c r="V788" s="7"/>
      <c r="AG788" s="7"/>
      <c r="AR788" s="7"/>
    </row>
    <row r="789">
      <c r="K789" s="7"/>
      <c r="V789" s="7"/>
      <c r="AG789" s="7"/>
      <c r="AR789" s="7"/>
    </row>
    <row r="790">
      <c r="K790" s="7"/>
      <c r="V790" s="7"/>
      <c r="AG790" s="7"/>
      <c r="AR790" s="7"/>
    </row>
    <row r="791">
      <c r="K791" s="7"/>
      <c r="V791" s="7"/>
      <c r="AG791" s="7"/>
      <c r="AR791" s="7"/>
    </row>
    <row r="792">
      <c r="K792" s="7"/>
      <c r="V792" s="7"/>
      <c r="AG792" s="7"/>
      <c r="AR792" s="7"/>
    </row>
    <row r="793">
      <c r="K793" s="7"/>
      <c r="V793" s="7"/>
      <c r="AG793" s="7"/>
      <c r="AR793" s="7"/>
    </row>
    <row r="794">
      <c r="K794" s="7"/>
      <c r="V794" s="7"/>
      <c r="AG794" s="7"/>
      <c r="AR794" s="7"/>
    </row>
    <row r="795">
      <c r="K795" s="7"/>
      <c r="V795" s="7"/>
      <c r="AG795" s="7"/>
      <c r="AR795" s="7"/>
    </row>
    <row r="796">
      <c r="K796" s="7"/>
      <c r="V796" s="7"/>
      <c r="AG796" s="7"/>
      <c r="AR796" s="7"/>
    </row>
    <row r="797">
      <c r="K797" s="7"/>
      <c r="V797" s="7"/>
      <c r="AG797" s="7"/>
      <c r="AR797" s="7"/>
    </row>
    <row r="798">
      <c r="K798" s="7"/>
      <c r="V798" s="7"/>
      <c r="AG798" s="7"/>
      <c r="AR798" s="7"/>
    </row>
    <row r="799">
      <c r="K799" s="7"/>
      <c r="V799" s="7"/>
      <c r="AG799" s="7"/>
      <c r="AR799" s="7"/>
    </row>
    <row r="800">
      <c r="K800" s="7"/>
      <c r="V800" s="7"/>
      <c r="AG800" s="7"/>
      <c r="AR800" s="7"/>
    </row>
    <row r="801">
      <c r="K801" s="7"/>
      <c r="V801" s="7"/>
      <c r="AG801" s="7"/>
      <c r="AR801" s="7"/>
    </row>
    <row r="802">
      <c r="K802" s="7"/>
      <c r="V802" s="7"/>
      <c r="AG802" s="7"/>
      <c r="AR802" s="7"/>
    </row>
    <row r="803">
      <c r="K803" s="7"/>
      <c r="V803" s="7"/>
      <c r="AG803" s="7"/>
      <c r="AR803" s="7"/>
    </row>
    <row r="804">
      <c r="K804" s="7"/>
      <c r="V804" s="7"/>
      <c r="AG804" s="7"/>
      <c r="AR804" s="7"/>
    </row>
    <row r="805">
      <c r="K805" s="7"/>
      <c r="V805" s="7"/>
      <c r="AG805" s="7"/>
      <c r="AR805" s="7"/>
    </row>
    <row r="806">
      <c r="K806" s="7"/>
      <c r="V806" s="7"/>
      <c r="AG806" s="7"/>
      <c r="AR806" s="7"/>
    </row>
    <row r="807">
      <c r="K807" s="7"/>
      <c r="V807" s="7"/>
      <c r="AG807" s="7"/>
      <c r="AR807" s="7"/>
    </row>
    <row r="808">
      <c r="K808" s="7"/>
      <c r="V808" s="7"/>
      <c r="AG808" s="7"/>
      <c r="AR808" s="7"/>
    </row>
    <row r="809">
      <c r="K809" s="7"/>
      <c r="V809" s="7"/>
      <c r="AG809" s="7"/>
      <c r="AR809" s="7"/>
    </row>
    <row r="810">
      <c r="K810" s="7"/>
      <c r="V810" s="7"/>
      <c r="AG810" s="7"/>
      <c r="AR810" s="7"/>
    </row>
    <row r="811">
      <c r="K811" s="7"/>
      <c r="V811" s="7"/>
      <c r="AG811" s="7"/>
      <c r="AR811" s="7"/>
    </row>
    <row r="812">
      <c r="K812" s="7"/>
      <c r="V812" s="7"/>
      <c r="AG812" s="7"/>
      <c r="AR812" s="7"/>
    </row>
    <row r="813">
      <c r="K813" s="7"/>
      <c r="V813" s="7"/>
      <c r="AG813" s="7"/>
      <c r="AR813" s="7"/>
    </row>
    <row r="814">
      <c r="K814" s="7"/>
      <c r="V814" s="7"/>
      <c r="AG814" s="7"/>
      <c r="AR814" s="7"/>
    </row>
    <row r="815">
      <c r="K815" s="7"/>
      <c r="V815" s="7"/>
      <c r="AG815" s="7"/>
      <c r="AR815" s="7"/>
    </row>
    <row r="816">
      <c r="K816" s="7"/>
      <c r="V816" s="7"/>
      <c r="AG816" s="7"/>
      <c r="AR816" s="7"/>
    </row>
    <row r="817">
      <c r="K817" s="7"/>
      <c r="V817" s="7"/>
      <c r="AG817" s="7"/>
      <c r="AR817" s="7"/>
    </row>
    <row r="818">
      <c r="K818" s="7"/>
      <c r="V818" s="7"/>
      <c r="AG818" s="7"/>
      <c r="AR818" s="7"/>
    </row>
    <row r="819">
      <c r="K819" s="7"/>
      <c r="V819" s="7"/>
      <c r="AG819" s="7"/>
      <c r="AR819" s="7"/>
    </row>
    <row r="820">
      <c r="K820" s="7"/>
      <c r="V820" s="7"/>
      <c r="AG820" s="7"/>
      <c r="AR820" s="7"/>
    </row>
    <row r="821">
      <c r="K821" s="7"/>
      <c r="V821" s="7"/>
      <c r="AG821" s="7"/>
      <c r="AR821" s="7"/>
    </row>
    <row r="822">
      <c r="K822" s="7"/>
      <c r="V822" s="7"/>
      <c r="AG822" s="7"/>
      <c r="AR822" s="7"/>
    </row>
    <row r="823">
      <c r="K823" s="7"/>
      <c r="V823" s="7"/>
      <c r="AG823" s="7"/>
      <c r="AR823" s="7"/>
    </row>
    <row r="824">
      <c r="K824" s="7"/>
      <c r="V824" s="7"/>
      <c r="AG824" s="7"/>
      <c r="AR824" s="7"/>
    </row>
    <row r="825">
      <c r="K825" s="7"/>
      <c r="V825" s="7"/>
      <c r="AG825" s="7"/>
      <c r="AR825" s="7"/>
    </row>
    <row r="826">
      <c r="K826" s="7"/>
      <c r="V826" s="7"/>
      <c r="AG826" s="7"/>
      <c r="AR826" s="7"/>
    </row>
    <row r="827">
      <c r="K827" s="7"/>
      <c r="V827" s="7"/>
      <c r="AG827" s="7"/>
      <c r="AR827" s="7"/>
    </row>
    <row r="828">
      <c r="K828" s="7"/>
      <c r="V828" s="7"/>
      <c r="AG828" s="7"/>
      <c r="AR828" s="7"/>
    </row>
    <row r="829">
      <c r="K829" s="7"/>
      <c r="V829" s="7"/>
      <c r="AG829" s="7"/>
      <c r="AR829" s="7"/>
    </row>
    <row r="830">
      <c r="K830" s="7"/>
      <c r="V830" s="7"/>
      <c r="AG830" s="7"/>
      <c r="AR830" s="7"/>
    </row>
    <row r="831">
      <c r="K831" s="7"/>
      <c r="V831" s="7"/>
      <c r="AG831" s="7"/>
      <c r="AR831" s="7"/>
    </row>
    <row r="832">
      <c r="K832" s="7"/>
      <c r="V832" s="7"/>
      <c r="AG832" s="7"/>
      <c r="AR832" s="7"/>
    </row>
    <row r="833">
      <c r="K833" s="7"/>
      <c r="V833" s="7"/>
      <c r="AG833" s="7"/>
      <c r="AR833" s="7"/>
    </row>
    <row r="834">
      <c r="K834" s="7"/>
      <c r="V834" s="7"/>
      <c r="AG834" s="7"/>
      <c r="AR834" s="7"/>
    </row>
    <row r="835">
      <c r="K835" s="7"/>
      <c r="V835" s="7"/>
      <c r="AG835" s="7"/>
      <c r="AR835" s="7"/>
    </row>
    <row r="836">
      <c r="K836" s="7"/>
      <c r="V836" s="7"/>
      <c r="AG836" s="7"/>
      <c r="AR836" s="7"/>
    </row>
    <row r="837">
      <c r="K837" s="7"/>
      <c r="V837" s="7"/>
      <c r="AG837" s="7"/>
      <c r="AR837" s="7"/>
    </row>
    <row r="838">
      <c r="K838" s="7"/>
      <c r="V838" s="7"/>
      <c r="AG838" s="7"/>
      <c r="AR838" s="7"/>
    </row>
    <row r="839">
      <c r="K839" s="7"/>
      <c r="V839" s="7"/>
      <c r="AG839" s="7"/>
      <c r="AR839" s="7"/>
    </row>
    <row r="840">
      <c r="K840" s="7"/>
      <c r="V840" s="7"/>
      <c r="AG840" s="7"/>
      <c r="AR840" s="7"/>
    </row>
    <row r="841">
      <c r="K841" s="7"/>
      <c r="V841" s="7"/>
      <c r="AG841" s="7"/>
      <c r="AR841" s="7"/>
    </row>
    <row r="842">
      <c r="K842" s="7"/>
      <c r="V842" s="7"/>
      <c r="AG842" s="7"/>
      <c r="AR842" s="7"/>
    </row>
    <row r="843">
      <c r="K843" s="7"/>
      <c r="V843" s="7"/>
      <c r="AG843" s="7"/>
      <c r="AR843" s="7"/>
    </row>
    <row r="844">
      <c r="K844" s="7"/>
      <c r="V844" s="7"/>
      <c r="AG844" s="7"/>
      <c r="AR844" s="7"/>
    </row>
    <row r="845">
      <c r="K845" s="7"/>
      <c r="V845" s="7"/>
      <c r="AG845" s="7"/>
      <c r="AR845" s="7"/>
    </row>
    <row r="846">
      <c r="K846" s="7"/>
      <c r="V846" s="7"/>
      <c r="AG846" s="7"/>
      <c r="AR846" s="7"/>
    </row>
    <row r="847">
      <c r="K847" s="7"/>
      <c r="V847" s="7"/>
      <c r="AG847" s="7"/>
      <c r="AR847" s="7"/>
    </row>
    <row r="848">
      <c r="K848" s="7"/>
      <c r="V848" s="7"/>
      <c r="AG848" s="7"/>
      <c r="AR848" s="7"/>
    </row>
    <row r="849">
      <c r="K849" s="7"/>
      <c r="V849" s="7"/>
      <c r="AG849" s="7"/>
      <c r="AR849" s="7"/>
    </row>
    <row r="850">
      <c r="K850" s="7"/>
      <c r="V850" s="7"/>
      <c r="AG850" s="7"/>
      <c r="AR850" s="7"/>
    </row>
    <row r="851">
      <c r="K851" s="7"/>
      <c r="V851" s="7"/>
      <c r="AG851" s="7"/>
      <c r="AR851" s="7"/>
    </row>
    <row r="852">
      <c r="K852" s="7"/>
      <c r="V852" s="7"/>
      <c r="AG852" s="7"/>
      <c r="AR852" s="7"/>
    </row>
    <row r="853">
      <c r="K853" s="7"/>
      <c r="V853" s="7"/>
      <c r="AG853" s="7"/>
      <c r="AR853" s="7"/>
    </row>
    <row r="854">
      <c r="K854" s="7"/>
      <c r="V854" s="7"/>
      <c r="AG854" s="7"/>
      <c r="AR854" s="7"/>
    </row>
    <row r="855">
      <c r="K855" s="7"/>
      <c r="V855" s="7"/>
      <c r="AG855" s="7"/>
      <c r="AR855" s="7"/>
    </row>
    <row r="856">
      <c r="K856" s="7"/>
      <c r="V856" s="7"/>
      <c r="AG856" s="7"/>
      <c r="AR856" s="7"/>
    </row>
    <row r="857">
      <c r="K857" s="7"/>
      <c r="V857" s="7"/>
      <c r="AG857" s="7"/>
      <c r="AR857" s="7"/>
    </row>
    <row r="858">
      <c r="K858" s="7"/>
      <c r="V858" s="7"/>
      <c r="AG858" s="7"/>
      <c r="AR858" s="7"/>
    </row>
    <row r="859">
      <c r="K859" s="7"/>
      <c r="V859" s="7"/>
      <c r="AG859" s="7"/>
      <c r="AR859" s="7"/>
    </row>
    <row r="860">
      <c r="K860" s="7"/>
      <c r="V860" s="7"/>
      <c r="AG860" s="7"/>
      <c r="AR860" s="7"/>
    </row>
    <row r="861">
      <c r="K861" s="7"/>
      <c r="V861" s="7"/>
      <c r="AG861" s="7"/>
      <c r="AR861" s="7"/>
    </row>
    <row r="862">
      <c r="K862" s="7"/>
      <c r="V862" s="7"/>
      <c r="AG862" s="7"/>
      <c r="AR862" s="7"/>
    </row>
    <row r="863">
      <c r="K863" s="7"/>
      <c r="V863" s="7"/>
      <c r="AG863" s="7"/>
      <c r="AR863" s="7"/>
    </row>
    <row r="864">
      <c r="K864" s="7"/>
      <c r="V864" s="7"/>
      <c r="AG864" s="7"/>
      <c r="AR864" s="7"/>
    </row>
    <row r="865">
      <c r="K865" s="7"/>
      <c r="V865" s="7"/>
      <c r="AG865" s="7"/>
      <c r="AR865" s="7"/>
    </row>
    <row r="866">
      <c r="K866" s="7"/>
      <c r="V866" s="7"/>
      <c r="AG866" s="7"/>
      <c r="AR866" s="7"/>
    </row>
    <row r="867">
      <c r="K867" s="7"/>
      <c r="V867" s="7"/>
      <c r="AG867" s="7"/>
      <c r="AR867" s="7"/>
    </row>
    <row r="868">
      <c r="K868" s="7"/>
      <c r="V868" s="7"/>
      <c r="AG868" s="7"/>
      <c r="AR868" s="7"/>
    </row>
    <row r="869">
      <c r="K869" s="7"/>
      <c r="V869" s="7"/>
      <c r="AG869" s="7"/>
      <c r="AR869" s="7"/>
    </row>
    <row r="870">
      <c r="K870" s="7"/>
      <c r="V870" s="7"/>
      <c r="AG870" s="7"/>
      <c r="AR870" s="7"/>
    </row>
    <row r="871">
      <c r="K871" s="7"/>
      <c r="V871" s="7"/>
      <c r="AG871" s="7"/>
      <c r="AR871" s="7"/>
    </row>
    <row r="872">
      <c r="K872" s="7"/>
      <c r="V872" s="7"/>
      <c r="AG872" s="7"/>
      <c r="AR872" s="7"/>
    </row>
    <row r="873">
      <c r="K873" s="7"/>
      <c r="V873" s="7"/>
      <c r="AG873" s="7"/>
      <c r="AR873" s="7"/>
    </row>
    <row r="874">
      <c r="K874" s="7"/>
      <c r="V874" s="7"/>
      <c r="AG874" s="7"/>
      <c r="AR874" s="7"/>
    </row>
    <row r="875">
      <c r="K875" s="7"/>
      <c r="V875" s="7"/>
      <c r="AG875" s="7"/>
      <c r="AR875" s="7"/>
    </row>
    <row r="876">
      <c r="K876" s="7"/>
      <c r="V876" s="7"/>
      <c r="AG876" s="7"/>
      <c r="AR876" s="7"/>
    </row>
    <row r="877">
      <c r="K877" s="7"/>
      <c r="V877" s="7"/>
      <c r="AG877" s="7"/>
      <c r="AR877" s="7"/>
    </row>
    <row r="878">
      <c r="K878" s="7"/>
      <c r="V878" s="7"/>
      <c r="AG878" s="7"/>
      <c r="AR878" s="7"/>
    </row>
    <row r="879">
      <c r="K879" s="7"/>
      <c r="V879" s="7"/>
      <c r="AG879" s="7"/>
      <c r="AR879" s="7"/>
    </row>
    <row r="880">
      <c r="K880" s="7"/>
      <c r="V880" s="7"/>
      <c r="AG880" s="7"/>
      <c r="AR880" s="7"/>
    </row>
    <row r="881">
      <c r="K881" s="7"/>
      <c r="V881" s="7"/>
      <c r="AG881" s="7"/>
      <c r="AR881" s="7"/>
    </row>
    <row r="882">
      <c r="K882" s="7"/>
      <c r="V882" s="7"/>
      <c r="AG882" s="7"/>
      <c r="AR882" s="7"/>
    </row>
    <row r="883">
      <c r="K883" s="7"/>
      <c r="V883" s="7"/>
      <c r="AG883" s="7"/>
      <c r="AR883" s="7"/>
    </row>
    <row r="884">
      <c r="K884" s="7"/>
      <c r="V884" s="7"/>
      <c r="AG884" s="7"/>
      <c r="AR884" s="7"/>
    </row>
    <row r="885">
      <c r="K885" s="7"/>
      <c r="V885" s="7"/>
      <c r="AG885" s="7"/>
      <c r="AR885" s="7"/>
    </row>
    <row r="886">
      <c r="K886" s="7"/>
      <c r="V886" s="7"/>
      <c r="AG886" s="7"/>
      <c r="AR886" s="7"/>
    </row>
    <row r="887">
      <c r="K887" s="7"/>
      <c r="V887" s="7"/>
      <c r="AG887" s="7"/>
      <c r="AR887" s="7"/>
    </row>
    <row r="888">
      <c r="K888" s="7"/>
      <c r="V888" s="7"/>
      <c r="AG888" s="7"/>
      <c r="AR888" s="7"/>
    </row>
    <row r="889">
      <c r="K889" s="7"/>
      <c r="V889" s="7"/>
      <c r="AG889" s="7"/>
      <c r="AR889" s="7"/>
    </row>
    <row r="890">
      <c r="K890" s="7"/>
      <c r="V890" s="7"/>
      <c r="AG890" s="7"/>
      <c r="AR890" s="7"/>
    </row>
    <row r="891">
      <c r="K891" s="7"/>
      <c r="V891" s="7"/>
      <c r="AG891" s="7"/>
      <c r="AR891" s="7"/>
    </row>
    <row r="892">
      <c r="K892" s="7"/>
      <c r="V892" s="7"/>
      <c r="AG892" s="7"/>
      <c r="AR892" s="7"/>
    </row>
    <row r="893">
      <c r="K893" s="7"/>
      <c r="V893" s="7"/>
      <c r="AG893" s="7"/>
      <c r="AR893" s="7"/>
    </row>
    <row r="894">
      <c r="K894" s="7"/>
      <c r="V894" s="7"/>
      <c r="AG894" s="7"/>
      <c r="AR894" s="7"/>
    </row>
    <row r="895">
      <c r="K895" s="7"/>
      <c r="V895" s="7"/>
      <c r="AG895" s="7"/>
      <c r="AR895" s="7"/>
    </row>
    <row r="896">
      <c r="K896" s="7"/>
      <c r="V896" s="7"/>
      <c r="AG896" s="7"/>
      <c r="AR896" s="7"/>
    </row>
    <row r="897">
      <c r="K897" s="7"/>
      <c r="V897" s="7"/>
      <c r="AG897" s="7"/>
      <c r="AR897" s="7"/>
    </row>
    <row r="898">
      <c r="K898" s="7"/>
      <c r="V898" s="7"/>
      <c r="AG898" s="7"/>
      <c r="AR898" s="7"/>
    </row>
    <row r="899">
      <c r="K899" s="7"/>
      <c r="V899" s="7"/>
      <c r="AG899" s="7"/>
      <c r="AR899" s="7"/>
    </row>
    <row r="900">
      <c r="K900" s="7"/>
      <c r="V900" s="7"/>
      <c r="AG900" s="7"/>
      <c r="AR900" s="7"/>
    </row>
    <row r="901">
      <c r="K901" s="7"/>
      <c r="V901" s="7"/>
      <c r="AG901" s="7"/>
      <c r="AR901" s="7"/>
    </row>
    <row r="902">
      <c r="K902" s="7"/>
      <c r="V902" s="7"/>
      <c r="AG902" s="7"/>
      <c r="AR902" s="7"/>
    </row>
    <row r="903">
      <c r="K903" s="7"/>
      <c r="V903" s="7"/>
      <c r="AG903" s="7"/>
      <c r="AR903" s="7"/>
    </row>
    <row r="904">
      <c r="K904" s="7"/>
      <c r="V904" s="7"/>
      <c r="AG904" s="7"/>
      <c r="AR904" s="7"/>
    </row>
    <row r="905">
      <c r="K905" s="7"/>
      <c r="V905" s="7"/>
      <c r="AG905" s="7"/>
      <c r="AR905" s="7"/>
    </row>
    <row r="906">
      <c r="K906" s="7"/>
      <c r="V906" s="7"/>
      <c r="AG906" s="7"/>
      <c r="AR906" s="7"/>
    </row>
    <row r="907">
      <c r="K907" s="7"/>
      <c r="V907" s="7"/>
      <c r="AG907" s="7"/>
      <c r="AR907" s="7"/>
    </row>
    <row r="908">
      <c r="K908" s="7"/>
      <c r="V908" s="7"/>
      <c r="AG908" s="7"/>
      <c r="AR908" s="7"/>
    </row>
    <row r="909">
      <c r="K909" s="7"/>
      <c r="V909" s="7"/>
      <c r="AG909" s="7"/>
      <c r="AR909" s="7"/>
    </row>
    <row r="910">
      <c r="K910" s="7"/>
      <c r="V910" s="7"/>
      <c r="AG910" s="7"/>
      <c r="AR910" s="7"/>
    </row>
    <row r="911">
      <c r="K911" s="7"/>
      <c r="V911" s="7"/>
      <c r="AG911" s="7"/>
      <c r="AR911" s="7"/>
    </row>
    <row r="912">
      <c r="K912" s="7"/>
      <c r="V912" s="7"/>
      <c r="AG912" s="7"/>
      <c r="AR912" s="7"/>
    </row>
    <row r="913">
      <c r="K913" s="7"/>
      <c r="V913" s="7"/>
      <c r="AG913" s="7"/>
      <c r="AR913" s="7"/>
    </row>
    <row r="914">
      <c r="K914" s="7"/>
      <c r="V914" s="7"/>
      <c r="AG914" s="7"/>
      <c r="AR914" s="7"/>
    </row>
    <row r="915">
      <c r="K915" s="7"/>
      <c r="V915" s="7"/>
      <c r="AG915" s="7"/>
      <c r="AR915" s="7"/>
    </row>
    <row r="916">
      <c r="K916" s="7"/>
      <c r="V916" s="7"/>
      <c r="AG916" s="7"/>
      <c r="AR916" s="7"/>
    </row>
    <row r="917">
      <c r="K917" s="7"/>
      <c r="V917" s="7"/>
      <c r="AG917" s="7"/>
      <c r="AR917" s="7"/>
    </row>
    <row r="918">
      <c r="K918" s="7"/>
      <c r="V918" s="7"/>
      <c r="AG918" s="7"/>
      <c r="AR918" s="7"/>
    </row>
    <row r="919">
      <c r="K919" s="7"/>
      <c r="V919" s="7"/>
      <c r="AG919" s="7"/>
      <c r="AR919" s="7"/>
    </row>
    <row r="920">
      <c r="K920" s="7"/>
      <c r="V920" s="7"/>
      <c r="AG920" s="7"/>
      <c r="AR920" s="7"/>
    </row>
    <row r="921">
      <c r="K921" s="7"/>
      <c r="V921" s="7"/>
      <c r="AG921" s="7"/>
      <c r="AR921" s="7"/>
    </row>
    <row r="922">
      <c r="K922" s="7"/>
      <c r="V922" s="7"/>
      <c r="AG922" s="7"/>
      <c r="AR922" s="7"/>
    </row>
    <row r="923">
      <c r="K923" s="7"/>
      <c r="V923" s="7"/>
      <c r="AG923" s="7"/>
      <c r="AR923" s="7"/>
    </row>
    <row r="924">
      <c r="K924" s="7"/>
      <c r="V924" s="7"/>
      <c r="AG924" s="7"/>
      <c r="AR924" s="7"/>
    </row>
    <row r="925">
      <c r="K925" s="7"/>
      <c r="V925" s="7"/>
      <c r="AG925" s="7"/>
      <c r="AR925" s="7"/>
    </row>
    <row r="926">
      <c r="K926" s="7"/>
      <c r="V926" s="7"/>
      <c r="AG926" s="7"/>
      <c r="AR926" s="7"/>
    </row>
    <row r="927">
      <c r="K927" s="7"/>
      <c r="V927" s="7"/>
      <c r="AG927" s="7"/>
      <c r="AR927" s="7"/>
    </row>
    <row r="928">
      <c r="K928" s="7"/>
      <c r="V928" s="7"/>
      <c r="AG928" s="7"/>
      <c r="AR928" s="7"/>
    </row>
    <row r="929">
      <c r="K929" s="7"/>
      <c r="V929" s="7"/>
      <c r="AG929" s="7"/>
      <c r="AR929" s="7"/>
    </row>
    <row r="930">
      <c r="K930" s="7"/>
      <c r="V930" s="7"/>
      <c r="AG930" s="7"/>
      <c r="AR930" s="7"/>
    </row>
    <row r="931">
      <c r="K931" s="7"/>
      <c r="V931" s="7"/>
      <c r="AG931" s="7"/>
      <c r="AR931" s="7"/>
    </row>
    <row r="932">
      <c r="K932" s="7"/>
      <c r="V932" s="7"/>
      <c r="AG932" s="7"/>
      <c r="AR932" s="7"/>
    </row>
    <row r="933">
      <c r="K933" s="7"/>
      <c r="V933" s="7"/>
      <c r="AG933" s="7"/>
      <c r="AR933" s="7"/>
    </row>
    <row r="934">
      <c r="K934" s="7"/>
      <c r="V934" s="7"/>
      <c r="AG934" s="7"/>
      <c r="AR934" s="7"/>
    </row>
    <row r="935">
      <c r="K935" s="7"/>
      <c r="V935" s="7"/>
      <c r="AG935" s="7"/>
      <c r="AR935" s="7"/>
    </row>
    <row r="936">
      <c r="K936" s="7"/>
      <c r="V936" s="7"/>
      <c r="AG936" s="7"/>
      <c r="AR936" s="7"/>
    </row>
    <row r="937">
      <c r="K937" s="7"/>
      <c r="V937" s="7"/>
      <c r="AG937" s="7"/>
      <c r="AR937" s="7"/>
    </row>
    <row r="938">
      <c r="K938" s="7"/>
      <c r="V938" s="7"/>
      <c r="AG938" s="7"/>
      <c r="AR938" s="7"/>
    </row>
    <row r="939">
      <c r="K939" s="7"/>
      <c r="V939" s="7"/>
      <c r="AG939" s="7"/>
      <c r="AR939" s="7"/>
    </row>
    <row r="940">
      <c r="K940" s="7"/>
      <c r="V940" s="7"/>
      <c r="AG940" s="7"/>
      <c r="AR940" s="7"/>
    </row>
    <row r="941">
      <c r="K941" s="7"/>
      <c r="V941" s="7"/>
      <c r="AG941" s="7"/>
      <c r="AR941" s="7"/>
    </row>
    <row r="942">
      <c r="K942" s="7"/>
      <c r="V942" s="7"/>
      <c r="AG942" s="7"/>
      <c r="AR942" s="7"/>
    </row>
    <row r="943">
      <c r="K943" s="7"/>
      <c r="V943" s="7"/>
      <c r="AG943" s="7"/>
      <c r="AR943" s="7"/>
    </row>
    <row r="944">
      <c r="K944" s="7"/>
      <c r="V944" s="7"/>
      <c r="AG944" s="7"/>
      <c r="AR944" s="7"/>
    </row>
    <row r="945">
      <c r="K945" s="7"/>
      <c r="V945" s="7"/>
      <c r="AG945" s="7"/>
      <c r="AR945" s="7"/>
    </row>
    <row r="946">
      <c r="K946" s="7"/>
      <c r="V946" s="7"/>
      <c r="AG946" s="7"/>
      <c r="AR946" s="7"/>
    </row>
    <row r="947">
      <c r="K947" s="7"/>
      <c r="V947" s="7"/>
      <c r="AG947" s="7"/>
      <c r="AR947" s="7"/>
    </row>
    <row r="948">
      <c r="K948" s="7"/>
      <c r="V948" s="7"/>
      <c r="AG948" s="7"/>
      <c r="AR948" s="7"/>
    </row>
    <row r="949">
      <c r="K949" s="7"/>
      <c r="V949" s="7"/>
      <c r="AG949" s="7"/>
      <c r="AR949" s="7"/>
    </row>
    <row r="950">
      <c r="K950" s="7"/>
      <c r="V950" s="7"/>
      <c r="AG950" s="7"/>
      <c r="AR950" s="7"/>
    </row>
    <row r="951">
      <c r="K951" s="7"/>
      <c r="V951" s="7"/>
      <c r="AG951" s="7"/>
      <c r="AR951" s="7"/>
    </row>
    <row r="952">
      <c r="K952" s="7"/>
      <c r="V952" s="7"/>
      <c r="AG952" s="7"/>
      <c r="AR952" s="7"/>
    </row>
    <row r="953">
      <c r="K953" s="7"/>
      <c r="V953" s="7"/>
      <c r="AG953" s="7"/>
      <c r="AR953" s="7"/>
    </row>
    <row r="954">
      <c r="K954" s="7"/>
      <c r="V954" s="7"/>
      <c r="AG954" s="7"/>
      <c r="AR954" s="7"/>
    </row>
    <row r="955">
      <c r="K955" s="7"/>
      <c r="V955" s="7"/>
      <c r="AG955" s="7"/>
      <c r="AR955" s="7"/>
    </row>
    <row r="956">
      <c r="K956" s="7"/>
      <c r="V956" s="7"/>
      <c r="AG956" s="7"/>
      <c r="AR956" s="7"/>
    </row>
    <row r="957">
      <c r="K957" s="7"/>
      <c r="V957" s="7"/>
      <c r="AG957" s="7"/>
      <c r="AR957" s="7"/>
    </row>
    <row r="958">
      <c r="K958" s="7"/>
      <c r="V958" s="7"/>
      <c r="AG958" s="7"/>
      <c r="AR958" s="7"/>
    </row>
    <row r="959">
      <c r="K959" s="7"/>
      <c r="V959" s="7"/>
      <c r="AG959" s="7"/>
      <c r="AR959" s="7"/>
    </row>
    <row r="960">
      <c r="K960" s="7"/>
      <c r="V960" s="7"/>
      <c r="AG960" s="7"/>
      <c r="AR960" s="7"/>
    </row>
    <row r="961">
      <c r="K961" s="7"/>
      <c r="V961" s="7"/>
      <c r="AG961" s="7"/>
      <c r="AR961" s="7"/>
    </row>
    <row r="962">
      <c r="K962" s="7"/>
      <c r="V962" s="7"/>
      <c r="AG962" s="7"/>
      <c r="AR962" s="7"/>
    </row>
    <row r="963">
      <c r="K963" s="7"/>
      <c r="V963" s="7"/>
      <c r="AG963" s="7"/>
      <c r="AR963" s="7"/>
    </row>
    <row r="964">
      <c r="K964" s="7"/>
      <c r="V964" s="7"/>
      <c r="AG964" s="7"/>
      <c r="AR964" s="7"/>
    </row>
    <row r="965">
      <c r="K965" s="7"/>
      <c r="V965" s="7"/>
      <c r="AG965" s="7"/>
      <c r="AR965" s="7"/>
    </row>
    <row r="966">
      <c r="K966" s="7"/>
      <c r="V966" s="7"/>
      <c r="AG966" s="7"/>
      <c r="AR966" s="7"/>
    </row>
    <row r="967">
      <c r="K967" s="7"/>
      <c r="V967" s="7"/>
      <c r="AG967" s="7"/>
      <c r="AR967" s="7"/>
    </row>
    <row r="968">
      <c r="K968" s="7"/>
      <c r="V968" s="7"/>
      <c r="AG968" s="7"/>
      <c r="AR968" s="7"/>
    </row>
    <row r="969">
      <c r="K969" s="7"/>
      <c r="V969" s="7"/>
      <c r="AG969" s="7"/>
      <c r="AR969" s="7"/>
    </row>
    <row r="970">
      <c r="K970" s="7"/>
      <c r="V970" s="7"/>
      <c r="AG970" s="7"/>
      <c r="AR970" s="7"/>
    </row>
    <row r="971">
      <c r="K971" s="7"/>
      <c r="V971" s="7"/>
      <c r="AG971" s="7"/>
      <c r="AR971" s="7"/>
    </row>
    <row r="972">
      <c r="K972" s="7"/>
      <c r="V972" s="7"/>
      <c r="AG972" s="7"/>
      <c r="AR972" s="7"/>
    </row>
    <row r="973">
      <c r="K973" s="7"/>
      <c r="V973" s="7"/>
      <c r="AG973" s="7"/>
      <c r="AR973" s="7"/>
    </row>
    <row r="974">
      <c r="K974" s="7"/>
      <c r="V974" s="7"/>
      <c r="AG974" s="7"/>
      <c r="AR974" s="7"/>
    </row>
    <row r="975">
      <c r="K975" s="7"/>
      <c r="V975" s="7"/>
      <c r="AG975" s="7"/>
      <c r="AR975" s="7"/>
    </row>
    <row r="976">
      <c r="K976" s="7"/>
      <c r="V976" s="7"/>
      <c r="AG976" s="7"/>
      <c r="AR976" s="7"/>
    </row>
    <row r="977">
      <c r="K977" s="7"/>
      <c r="V977" s="7"/>
      <c r="AG977" s="7"/>
      <c r="AR977" s="7"/>
    </row>
    <row r="978">
      <c r="K978" s="7"/>
      <c r="V978" s="7"/>
      <c r="AG978" s="7"/>
      <c r="AR978" s="7"/>
    </row>
    <row r="979">
      <c r="K979" s="7"/>
      <c r="V979" s="7"/>
      <c r="AG979" s="7"/>
      <c r="AR979" s="7"/>
    </row>
    <row r="980">
      <c r="K980" s="7"/>
      <c r="V980" s="7"/>
      <c r="AG980" s="7"/>
      <c r="AR980" s="7"/>
    </row>
    <row r="981">
      <c r="K981" s="7"/>
      <c r="V981" s="7"/>
      <c r="AG981" s="7"/>
      <c r="AR981" s="7"/>
    </row>
    <row r="982">
      <c r="K982" s="7"/>
      <c r="V982" s="7"/>
      <c r="AG982" s="7"/>
      <c r="AR982" s="7"/>
    </row>
    <row r="983">
      <c r="K983" s="7"/>
      <c r="V983" s="7"/>
      <c r="AG983" s="7"/>
      <c r="AR983" s="7"/>
    </row>
    <row r="984">
      <c r="K984" s="7"/>
      <c r="V984" s="7"/>
      <c r="AG984" s="7"/>
      <c r="AR984" s="7"/>
    </row>
    <row r="985">
      <c r="K985" s="7"/>
      <c r="V985" s="7"/>
      <c r="AG985" s="7"/>
      <c r="AR985" s="7"/>
    </row>
    <row r="986">
      <c r="K986" s="7"/>
      <c r="V986" s="7"/>
      <c r="AG986" s="7"/>
      <c r="AR986" s="7"/>
    </row>
    <row r="987">
      <c r="K987" s="7"/>
      <c r="V987" s="7"/>
      <c r="AG987" s="7"/>
      <c r="AR987" s="7"/>
    </row>
    <row r="988">
      <c r="K988" s="7"/>
      <c r="V988" s="7"/>
      <c r="AG988" s="7"/>
      <c r="AR988" s="7"/>
    </row>
    <row r="989">
      <c r="K989" s="7"/>
      <c r="V989" s="7"/>
      <c r="AG989" s="7"/>
      <c r="AR989" s="7"/>
    </row>
    <row r="990">
      <c r="K990" s="7"/>
      <c r="V990" s="7"/>
      <c r="AG990" s="7"/>
      <c r="AR990" s="7"/>
    </row>
    <row r="991">
      <c r="K991" s="7"/>
      <c r="V991" s="7"/>
      <c r="AG991" s="7"/>
      <c r="AR991" s="7"/>
    </row>
    <row r="992">
      <c r="K992" s="7"/>
      <c r="V992" s="7"/>
      <c r="AG992" s="7"/>
      <c r="AR992" s="7"/>
    </row>
    <row r="993">
      <c r="K993" s="7"/>
      <c r="V993" s="7"/>
      <c r="AG993" s="7"/>
      <c r="AR993" s="7"/>
    </row>
    <row r="994">
      <c r="K994" s="7"/>
      <c r="V994" s="7"/>
      <c r="AG994" s="7"/>
      <c r="AR994" s="7"/>
    </row>
    <row r="995">
      <c r="K995" s="7"/>
      <c r="V995" s="7"/>
      <c r="AG995" s="7"/>
      <c r="AR995" s="7"/>
    </row>
    <row r="996">
      <c r="K996" s="7"/>
      <c r="V996" s="7"/>
      <c r="AG996" s="7"/>
      <c r="AR996" s="7"/>
    </row>
    <row r="997">
      <c r="K997" s="7"/>
      <c r="V997" s="7"/>
      <c r="AG997" s="7"/>
      <c r="AR997" s="7"/>
    </row>
    <row r="998">
      <c r="K998" s="7"/>
      <c r="V998" s="7"/>
      <c r="AG998" s="7"/>
      <c r="AR998" s="7"/>
    </row>
    <row r="999">
      <c r="K999" s="7"/>
      <c r="V999" s="7"/>
      <c r="AG999" s="7"/>
      <c r="AR999" s="7"/>
    </row>
    <row r="1000">
      <c r="K1000" s="7"/>
      <c r="V1000" s="7"/>
      <c r="AG1000" s="7"/>
      <c r="AR1000" s="7"/>
    </row>
    <row r="1001">
      <c r="K1001" s="7"/>
      <c r="V1001" s="7"/>
      <c r="AG1001" s="7"/>
      <c r="AR1001" s="7"/>
    </row>
    <row r="1002">
      <c r="K1002" s="7"/>
      <c r="V1002" s="7"/>
      <c r="AG1002" s="7"/>
      <c r="AR1002" s="7"/>
    </row>
    <row r="1003">
      <c r="K1003" s="7"/>
      <c r="V1003" s="7"/>
      <c r="AG1003" s="7"/>
      <c r="AR1003" s="7"/>
    </row>
    <row r="1004">
      <c r="K1004" s="7"/>
      <c r="V1004" s="7"/>
      <c r="AG1004" s="7"/>
      <c r="AR1004" s="7"/>
    </row>
    <row r="1005">
      <c r="K1005" s="7"/>
      <c r="V1005" s="7"/>
      <c r="AG1005" s="7"/>
      <c r="AR1005" s="7"/>
    </row>
    <row r="1006">
      <c r="K1006" s="7"/>
      <c r="V1006" s="7"/>
      <c r="AG1006" s="7"/>
      <c r="AR1006" s="7"/>
    </row>
    <row r="1007">
      <c r="K1007" s="7"/>
      <c r="V1007" s="7"/>
      <c r="AG1007" s="7"/>
      <c r="AR1007" s="7"/>
    </row>
    <row r="1008">
      <c r="K1008" s="7"/>
      <c r="V1008" s="7"/>
      <c r="AG1008" s="7"/>
      <c r="AR1008" s="7"/>
    </row>
    <row r="1009">
      <c r="K1009" s="7"/>
      <c r="V1009" s="7"/>
      <c r="AG1009" s="7"/>
      <c r="AR1009" s="7"/>
    </row>
    <row r="1010">
      <c r="K1010" s="7"/>
      <c r="V1010" s="7"/>
      <c r="AG1010" s="7"/>
      <c r="AR1010" s="7"/>
    </row>
    <row r="1011">
      <c r="K1011" s="7"/>
      <c r="V1011" s="7"/>
      <c r="AG1011" s="7"/>
      <c r="AR1011" s="7"/>
    </row>
    <row r="1012">
      <c r="K1012" s="7"/>
      <c r="V1012" s="7"/>
      <c r="AG1012" s="7"/>
      <c r="AR1012" s="7"/>
    </row>
    <row r="1013">
      <c r="K1013" s="7"/>
      <c r="V1013" s="7"/>
      <c r="AG1013" s="7"/>
      <c r="AR1013" s="7"/>
    </row>
  </sheetData>
  <mergeCells count="12">
    <mergeCell ref="C79:G79"/>
    <mergeCell ref="N79:R79"/>
    <mergeCell ref="Y79:AC79"/>
    <mergeCell ref="AJ79:AN79"/>
    <mergeCell ref="AU79:AY79"/>
    <mergeCell ref="C1:F1"/>
    <mergeCell ref="C2:F6"/>
    <mergeCell ref="B77:B78"/>
    <mergeCell ref="M77:M78"/>
    <mergeCell ref="X77:X78"/>
    <mergeCell ref="AI77:AI78"/>
    <mergeCell ref="AT77:AT78"/>
  </mergeCells>
  <conditionalFormatting sqref="M64:M69 X64:X69 AI64:AI69 AT64:AT69">
    <cfRule type="expression" dxfId="5" priority="1">
      <formula>COUNTIF($M$55:$M$58, M64)&gt;0</formula>
    </cfRule>
  </conditionalFormatting>
  <conditionalFormatting sqref="X64:X69 AI64:AI69 AT64:AT69">
    <cfRule type="expression" dxfId="5" priority="2">
      <formula>COUNTIF($X$55:$X$57, X64)&gt;0</formula>
    </cfRule>
  </conditionalFormatting>
  <conditionalFormatting sqref="B64:B70 M64:M69 X64:X69 AI64:AI69 AT64:AT69">
    <cfRule type="expression" dxfId="5" priority="3">
      <formula>COUNTIF($B$55:$B$58, B64)&gt;0</formula>
    </cfRule>
  </conditionalFormatting>
  <dataValidations>
    <dataValidation type="list" allowBlank="1" showErrorMessage="1" sqref="G78 R78 AC78 AN78 AY78">
      <formula1>"1,2,3,4,/"</formula1>
    </dataValidation>
    <dataValidation type="list" allowBlank="1" showErrorMessage="1" sqref="C13 N13 Y13 AJ13 AU13 C27 N27 Y27 AJ27 AU27 C41 N41 Y41 AJ41 AU41 N63 Y63 AJ63 AU63">
      <formula1>"Maandag,Dinsdag,Woensdag,Donderdag,Vrijdag,Zaterdag,Zondag"</formula1>
    </dataValidation>
    <dataValidation type="list" allowBlank="1" showErrorMessage="1" sqref="B13 M13 X13 AI13 AT13 B27 M27 X27 AI27 AT27 B41 M41 X41 AI41 AT41 B63 M63 X63 AI63 AT63">
      <formula1>"SESSIE 1,SESSIE 2,SESSIE 3,SESSIE 4"</formula1>
    </dataValidation>
    <dataValidation type="list" allowBlank="1" showErrorMessage="1" sqref="M57">
      <formula1>"Lat pulldown,Shoulder press,Chest flies,Dips,Lateral raise,/"</formula1>
    </dataValidation>
    <dataValidation type="list" allowBlank="1" showErrorMessage="1" sqref="G24 R24 AC24 AN24 AY24 G38 R38 AC38 AN38 AY38 G52 R52 AC52 AN52 AY52 G74 R74 AC74 AN74 AY74">
      <formula1>"JA,NEE,/"</formula1>
    </dataValidation>
    <dataValidation type="list" allowBlank="1" showErrorMessage="1" sqref="H24 S24 AD24 AO24 AZ24 H38 S38 AD38 AO38 AZ38 H52 S52 AD52 AO52 AZ52 H74 S74 AD74 AO74 AZ74">
      <formula1>"Stairmaster,Airbike,Loopband (Wandelen),Loopband (Lopen),Roeimachine,Crosstrainer,/"</formula1>
    </dataValidation>
    <dataValidation type="list" allowBlank="1" showErrorMessage="1" sqref="M55:M56 X55:X57 AI55:AI57 AT55:AT57 B56:B58">
      <formula1>"Lat pulldown,Shoulder press,Chest flies,Pull ups,Lateral raise,/"</formula1>
    </dataValidation>
    <dataValidation type="list" allowBlank="1" showErrorMessage="1" sqref="C78:F78 N78:Q78 Y78:AB78 AJ78:AM78 AU78:AX78">
      <formula1>"AMAZING,GOOD,NEUTRAAL,BAD,HOLY ASS,/"</formula1>
    </dataValidation>
  </dataValidations>
  <drawing r:id="rId1"/>
  <tableParts count="65"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7.88"/>
    <col customWidth="1" min="3" max="3" width="31.88"/>
    <col customWidth="1" min="4" max="4" width="18.25"/>
    <col customWidth="1" min="5" max="5" width="15.75"/>
    <col customWidth="1" min="6" max="6" width="19.13"/>
    <col customWidth="1" min="7" max="8" width="30.63"/>
    <col customWidth="1" min="9" max="9" width="26.63"/>
    <col customWidth="1" min="11" max="11" width="40.5"/>
    <col customWidth="1" min="12" max="12" width="31.63"/>
    <col customWidth="1" min="13" max="13" width="16.38"/>
    <col customWidth="1" min="14" max="14" width="24.75"/>
    <col customWidth="1" min="15" max="15" width="20.0"/>
    <col customWidth="1" min="16" max="16" width="33.25"/>
    <col customWidth="1" min="17" max="17" width="17.88"/>
    <col customWidth="1" min="18" max="18" width="37.88"/>
    <col customWidth="1" min="20" max="20" width="28.75"/>
    <col customWidth="1" min="21" max="21" width="22.63"/>
    <col customWidth="1" min="23" max="23" width="15.25"/>
    <col customWidth="1" min="24" max="24" width="24.63"/>
    <col customWidth="1" min="25" max="25" width="30.63"/>
    <col customWidth="1" min="26" max="26" width="22.0"/>
    <col customWidth="1" min="27" max="27" width="33.0"/>
    <col customWidth="1" min="29" max="29" width="34.38"/>
    <col customWidth="1" min="30" max="30" width="25.75"/>
    <col customWidth="1" min="33" max="33" width="17.5"/>
    <col customWidth="1" min="34" max="34" width="34.38"/>
    <col customWidth="1" min="35" max="35" width="22.5"/>
    <col customWidth="1" min="36" max="36" width="40.38"/>
  </cols>
  <sheetData>
    <row r="4"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8">
      <c r="B8" s="15" t="s">
        <v>40</v>
      </c>
      <c r="C8" s="15" t="s">
        <v>43</v>
      </c>
      <c r="D8" s="14" t="s">
        <v>44</v>
      </c>
      <c r="E8" s="14" t="s">
        <v>45</v>
      </c>
      <c r="F8" s="14" t="s">
        <v>46</v>
      </c>
      <c r="G8" s="14" t="s">
        <v>47</v>
      </c>
      <c r="H8" s="14" t="s">
        <v>49</v>
      </c>
      <c r="I8" s="14" t="s">
        <v>50</v>
      </c>
      <c r="K8" s="15" t="s">
        <v>40</v>
      </c>
      <c r="L8" s="15" t="s">
        <v>43</v>
      </c>
      <c r="M8" s="14" t="s">
        <v>44</v>
      </c>
      <c r="N8" s="14" t="s">
        <v>45</v>
      </c>
      <c r="O8" s="14" t="s">
        <v>46</v>
      </c>
      <c r="P8" s="14" t="s">
        <v>47</v>
      </c>
      <c r="Q8" s="14" t="s">
        <v>49</v>
      </c>
      <c r="R8" s="14" t="s">
        <v>50</v>
      </c>
      <c r="T8" s="15" t="s">
        <v>40</v>
      </c>
      <c r="U8" s="15" t="s">
        <v>43</v>
      </c>
      <c r="V8" s="14" t="s">
        <v>44</v>
      </c>
      <c r="W8" s="14" t="s">
        <v>45</v>
      </c>
      <c r="X8" s="14" t="s">
        <v>46</v>
      </c>
      <c r="Y8" s="14" t="s">
        <v>47</v>
      </c>
      <c r="Z8" s="14" t="s">
        <v>49</v>
      </c>
      <c r="AA8" s="14" t="s">
        <v>50</v>
      </c>
      <c r="AC8" s="15" t="s">
        <v>40</v>
      </c>
      <c r="AD8" s="15" t="s">
        <v>43</v>
      </c>
      <c r="AE8" s="14" t="s">
        <v>44</v>
      </c>
      <c r="AF8" s="14" t="s">
        <v>45</v>
      </c>
      <c r="AG8" s="14" t="s">
        <v>46</v>
      </c>
      <c r="AH8" s="14" t="s">
        <v>47</v>
      </c>
      <c r="AI8" s="14" t="s">
        <v>49</v>
      </c>
      <c r="AJ8" s="14" t="s">
        <v>50</v>
      </c>
    </row>
    <row r="9">
      <c r="B9" s="15" t="s">
        <v>59</v>
      </c>
      <c r="C9" s="31"/>
      <c r="D9" s="15">
        <v>1.0</v>
      </c>
      <c r="E9" s="15">
        <v>5.0</v>
      </c>
      <c r="F9" s="32" t="s">
        <v>60</v>
      </c>
      <c r="G9" s="15">
        <v>60.0</v>
      </c>
      <c r="H9" s="31"/>
      <c r="I9" s="31"/>
      <c r="K9" s="15" t="s">
        <v>61</v>
      </c>
      <c r="L9" s="31"/>
      <c r="M9" s="15">
        <v>1.0</v>
      </c>
      <c r="N9" s="15">
        <v>5.0</v>
      </c>
      <c r="O9" s="32" t="s">
        <v>64</v>
      </c>
      <c r="P9" s="15">
        <v>60.0</v>
      </c>
      <c r="Q9" s="33"/>
      <c r="R9" s="31"/>
      <c r="T9" s="15" t="s">
        <v>67</v>
      </c>
      <c r="U9" s="31"/>
      <c r="V9" s="15">
        <v>1.0</v>
      </c>
      <c r="W9" s="15">
        <v>5.0</v>
      </c>
      <c r="X9" s="32" t="s">
        <v>69</v>
      </c>
      <c r="Y9" s="15" t="s">
        <v>70</v>
      </c>
      <c r="Z9" s="31"/>
      <c r="AA9" s="15" t="s">
        <v>71</v>
      </c>
      <c r="AC9" s="15" t="s">
        <v>59</v>
      </c>
      <c r="AD9" s="31"/>
      <c r="AE9" s="15">
        <v>1.0</v>
      </c>
      <c r="AF9" s="15">
        <v>5.0</v>
      </c>
      <c r="AG9" s="15" t="s">
        <v>72</v>
      </c>
      <c r="AH9" s="15">
        <v>60.0</v>
      </c>
      <c r="AI9" s="15">
        <v>8.0</v>
      </c>
      <c r="AJ9" s="31"/>
    </row>
    <row r="10">
      <c r="B10" s="15" t="s">
        <v>59</v>
      </c>
      <c r="C10" s="31"/>
      <c r="D10" s="15">
        <v>3.0</v>
      </c>
      <c r="E10" s="15">
        <v>10.0</v>
      </c>
      <c r="F10" s="32" t="s">
        <v>73</v>
      </c>
      <c r="G10" s="15">
        <v>40.0</v>
      </c>
      <c r="H10" s="31"/>
      <c r="I10" s="31"/>
      <c r="K10" s="15" t="s">
        <v>59</v>
      </c>
      <c r="L10" s="31"/>
      <c r="M10" s="15">
        <v>3.0</v>
      </c>
      <c r="N10" s="15">
        <v>10.0</v>
      </c>
      <c r="O10" s="32" t="s">
        <v>75</v>
      </c>
      <c r="P10" s="15">
        <v>40.0</v>
      </c>
      <c r="Q10" s="33"/>
      <c r="R10" s="31"/>
      <c r="T10" s="15" t="s">
        <v>59</v>
      </c>
      <c r="U10" s="31"/>
      <c r="V10" s="15">
        <v>3.0</v>
      </c>
      <c r="W10" s="15">
        <v>10.0</v>
      </c>
      <c r="X10" s="32" t="s">
        <v>69</v>
      </c>
      <c r="Y10" s="15" t="s">
        <v>70</v>
      </c>
      <c r="Z10" s="31"/>
      <c r="AA10" s="31"/>
      <c r="AC10" s="15" t="s">
        <v>59</v>
      </c>
      <c r="AD10" s="31"/>
      <c r="AE10" s="15">
        <v>3.0</v>
      </c>
      <c r="AF10" s="15">
        <v>10.0</v>
      </c>
      <c r="AG10" s="15" t="s">
        <v>72</v>
      </c>
      <c r="AH10" s="15">
        <v>40.0</v>
      </c>
      <c r="AI10" s="15">
        <v>8.0</v>
      </c>
      <c r="AJ10" s="31"/>
    </row>
    <row r="11">
      <c r="B11" s="15" t="s">
        <v>79</v>
      </c>
      <c r="C11" s="31"/>
      <c r="D11" s="15">
        <v>4.0</v>
      </c>
      <c r="E11" s="15">
        <v>6.0</v>
      </c>
      <c r="F11" s="32" t="s">
        <v>73</v>
      </c>
      <c r="G11" s="15">
        <v>60.0</v>
      </c>
      <c r="H11" s="31"/>
      <c r="I11" s="31"/>
      <c r="K11" s="15" t="s">
        <v>79</v>
      </c>
      <c r="L11" s="31"/>
      <c r="M11" s="15">
        <v>4.0</v>
      </c>
      <c r="N11" s="15">
        <v>6.0</v>
      </c>
      <c r="O11" s="32" t="s">
        <v>75</v>
      </c>
      <c r="P11" s="15">
        <v>70.0</v>
      </c>
      <c r="Q11" s="32">
        <v>7.0</v>
      </c>
      <c r="R11" s="31"/>
      <c r="T11" s="15" t="s">
        <v>79</v>
      </c>
      <c r="U11" s="31"/>
      <c r="V11" s="15">
        <v>4.0</v>
      </c>
      <c r="W11" s="15">
        <v>6.0</v>
      </c>
      <c r="X11" s="32" t="s">
        <v>69</v>
      </c>
      <c r="Y11" s="15">
        <v>72.5</v>
      </c>
      <c r="Z11" s="15">
        <v>7.0</v>
      </c>
      <c r="AA11" s="15" t="s">
        <v>83</v>
      </c>
      <c r="AC11" s="15" t="s">
        <v>79</v>
      </c>
      <c r="AD11" s="31"/>
      <c r="AE11" s="15">
        <v>4.0</v>
      </c>
      <c r="AF11" s="15">
        <v>6.0</v>
      </c>
      <c r="AG11" s="15" t="s">
        <v>85</v>
      </c>
      <c r="AH11" s="15">
        <v>80.0</v>
      </c>
      <c r="AI11" s="15">
        <v>7.5</v>
      </c>
      <c r="AJ11" s="35" t="s">
        <v>86</v>
      </c>
    </row>
    <row r="12">
      <c r="B12" s="15" t="s">
        <v>88</v>
      </c>
      <c r="C12" s="31"/>
      <c r="D12" s="15">
        <v>3.0</v>
      </c>
      <c r="E12" s="36">
        <v>46366.0</v>
      </c>
      <c r="F12" s="32" t="s">
        <v>85</v>
      </c>
      <c r="G12" s="15">
        <v>66.0</v>
      </c>
      <c r="H12" s="31"/>
      <c r="I12" s="31"/>
      <c r="K12" s="15" t="s">
        <v>88</v>
      </c>
      <c r="L12" s="31"/>
      <c r="M12" s="15">
        <v>3.0</v>
      </c>
      <c r="N12" s="36">
        <v>46366.0</v>
      </c>
      <c r="O12" s="32" t="s">
        <v>93</v>
      </c>
      <c r="P12" s="15">
        <v>66.0</v>
      </c>
      <c r="Q12" s="32">
        <v>8.0</v>
      </c>
      <c r="R12" s="31"/>
      <c r="T12" s="15" t="s">
        <v>88</v>
      </c>
      <c r="U12" s="31"/>
      <c r="V12" s="15">
        <v>3.0</v>
      </c>
      <c r="W12" s="36">
        <v>46366.0</v>
      </c>
      <c r="X12" s="32" t="s">
        <v>96</v>
      </c>
      <c r="Y12" s="15">
        <v>52.5</v>
      </c>
      <c r="Z12" s="15">
        <v>8.5</v>
      </c>
      <c r="AA12" s="31"/>
      <c r="AC12" s="15" t="s">
        <v>88</v>
      </c>
      <c r="AD12" s="31"/>
      <c r="AE12" s="15">
        <v>3.0</v>
      </c>
      <c r="AF12" s="36">
        <v>46366.0</v>
      </c>
      <c r="AG12" s="15" t="s">
        <v>92</v>
      </c>
      <c r="AH12" s="15">
        <v>72.5</v>
      </c>
      <c r="AI12" s="31"/>
      <c r="AJ12" s="31"/>
    </row>
    <row r="13">
      <c r="B13" s="15" t="s">
        <v>97</v>
      </c>
      <c r="C13" s="31"/>
      <c r="D13" s="15">
        <v>3.0</v>
      </c>
      <c r="E13" s="36">
        <v>46303.0</v>
      </c>
      <c r="F13" s="32" t="s">
        <v>98</v>
      </c>
      <c r="G13" s="15">
        <v>59.0</v>
      </c>
      <c r="H13" s="31"/>
      <c r="I13" s="31"/>
      <c r="K13" s="15" t="s">
        <v>97</v>
      </c>
      <c r="L13" s="31"/>
      <c r="M13" s="15">
        <v>3.0</v>
      </c>
      <c r="N13" s="36">
        <v>46303.0</v>
      </c>
      <c r="O13" s="32" t="s">
        <v>100</v>
      </c>
      <c r="P13" s="15">
        <v>59.0</v>
      </c>
      <c r="Q13" s="32">
        <v>8.5</v>
      </c>
      <c r="R13" s="31"/>
      <c r="T13" s="15" t="s">
        <v>97</v>
      </c>
      <c r="U13" s="31"/>
      <c r="V13" s="15">
        <v>3.0</v>
      </c>
      <c r="W13" s="36">
        <v>46303.0</v>
      </c>
      <c r="X13" s="32" t="s">
        <v>96</v>
      </c>
      <c r="Y13" s="15">
        <v>60.0</v>
      </c>
      <c r="Z13" s="15">
        <v>8.5</v>
      </c>
      <c r="AA13" s="31"/>
      <c r="AC13" s="15" t="s">
        <v>97</v>
      </c>
      <c r="AD13" s="31"/>
      <c r="AE13" s="15">
        <v>3.0</v>
      </c>
      <c r="AF13" s="36">
        <v>46303.0</v>
      </c>
      <c r="AG13" s="15" t="s">
        <v>92</v>
      </c>
      <c r="AH13" s="15">
        <v>60.0</v>
      </c>
      <c r="AI13" s="31"/>
      <c r="AJ13" s="31"/>
    </row>
    <row r="14">
      <c r="B14" s="15" t="s">
        <v>105</v>
      </c>
      <c r="C14" s="31"/>
      <c r="D14" s="15">
        <v>3.0</v>
      </c>
      <c r="E14" s="36">
        <v>46303.0</v>
      </c>
      <c r="F14" s="32" t="s">
        <v>98</v>
      </c>
      <c r="G14" s="15">
        <v>66.0</v>
      </c>
      <c r="H14" s="31"/>
      <c r="I14" s="31"/>
      <c r="K14" s="15" t="s">
        <v>105</v>
      </c>
      <c r="L14" s="31"/>
      <c r="M14" s="15">
        <v>3.0</v>
      </c>
      <c r="N14" s="36">
        <v>46303.0</v>
      </c>
      <c r="O14" s="32" t="s">
        <v>100</v>
      </c>
      <c r="P14" s="15">
        <v>59.0</v>
      </c>
      <c r="Q14" s="32">
        <v>8.5</v>
      </c>
      <c r="R14" s="31"/>
      <c r="T14" s="15" t="s">
        <v>105</v>
      </c>
      <c r="U14" s="31"/>
      <c r="V14" s="15">
        <v>3.0</v>
      </c>
      <c r="W14" s="36">
        <v>46303.0</v>
      </c>
      <c r="X14" s="32" t="s">
        <v>96</v>
      </c>
      <c r="Y14" s="15">
        <v>55.0</v>
      </c>
      <c r="Z14" s="15">
        <v>8.5</v>
      </c>
      <c r="AA14" s="31"/>
      <c r="AC14" s="15" t="s">
        <v>105</v>
      </c>
      <c r="AD14" s="31"/>
      <c r="AE14" s="15">
        <v>3.0</v>
      </c>
      <c r="AF14" s="36">
        <v>46303.0</v>
      </c>
      <c r="AG14" s="15" t="s">
        <v>92</v>
      </c>
      <c r="AH14" s="15">
        <v>55.0</v>
      </c>
      <c r="AI14" s="31"/>
      <c r="AJ14" s="31"/>
    </row>
    <row r="15">
      <c r="B15" s="15" t="s">
        <v>22</v>
      </c>
      <c r="C15" s="31"/>
      <c r="D15" s="15">
        <v>3.0</v>
      </c>
      <c r="E15" s="36">
        <v>46366.0</v>
      </c>
      <c r="F15" s="32" t="s">
        <v>98</v>
      </c>
      <c r="G15" s="31"/>
      <c r="H15" s="31"/>
      <c r="I15" s="31"/>
      <c r="K15" s="15" t="s">
        <v>22</v>
      </c>
      <c r="L15" s="31"/>
      <c r="M15" s="15">
        <v>3.0</v>
      </c>
      <c r="N15" s="36">
        <v>46366.0</v>
      </c>
      <c r="O15" s="32" t="s">
        <v>100</v>
      </c>
      <c r="P15" s="31"/>
      <c r="Q15" s="33"/>
      <c r="R15" s="31"/>
      <c r="T15" s="15" t="s">
        <v>22</v>
      </c>
      <c r="U15" s="31"/>
      <c r="V15" s="15">
        <v>3.0</v>
      </c>
      <c r="W15" s="36">
        <v>46366.0</v>
      </c>
      <c r="X15" s="32" t="s">
        <v>96</v>
      </c>
      <c r="Y15" s="15">
        <v>35.0</v>
      </c>
      <c r="Z15" s="15">
        <v>8.5</v>
      </c>
      <c r="AA15" s="31"/>
      <c r="AC15" s="15" t="s">
        <v>22</v>
      </c>
      <c r="AD15" s="31"/>
      <c r="AE15" s="15">
        <v>3.0</v>
      </c>
      <c r="AF15" s="36">
        <v>46366.0</v>
      </c>
      <c r="AG15" s="15" t="s">
        <v>92</v>
      </c>
      <c r="AH15" s="15">
        <v>35.0</v>
      </c>
      <c r="AI15" s="31"/>
      <c r="AJ15" s="31"/>
    </row>
    <row r="16">
      <c r="B16" s="15"/>
      <c r="C16" s="31"/>
      <c r="D16" s="31"/>
      <c r="E16" s="31"/>
      <c r="F16" s="31"/>
      <c r="G16" s="31"/>
      <c r="H16" s="31"/>
      <c r="I16" s="31"/>
      <c r="K16" s="15" t="s">
        <v>106</v>
      </c>
      <c r="L16" s="31"/>
      <c r="M16" s="15">
        <v>3.0</v>
      </c>
      <c r="N16" s="15">
        <v>10.0</v>
      </c>
      <c r="O16" s="15" t="s">
        <v>107</v>
      </c>
      <c r="P16" s="15">
        <v>12.0</v>
      </c>
      <c r="Q16" s="33"/>
      <c r="R16" s="31"/>
      <c r="T16" s="31"/>
      <c r="U16" s="31"/>
      <c r="V16" s="31"/>
      <c r="W16" s="31"/>
      <c r="X16" s="31"/>
      <c r="Y16" s="31"/>
      <c r="Z16" s="31"/>
      <c r="AA16" s="31"/>
      <c r="AC16" s="31"/>
      <c r="AD16" s="31"/>
      <c r="AE16" s="31"/>
      <c r="AF16" s="31"/>
      <c r="AG16" s="31"/>
      <c r="AH16" s="31"/>
      <c r="AI16" s="31"/>
      <c r="AJ16" s="31"/>
    </row>
    <row r="17">
      <c r="B17" s="31"/>
      <c r="C17" s="31"/>
      <c r="D17" s="31"/>
      <c r="E17" s="31"/>
      <c r="F17" s="31"/>
      <c r="G17" s="31"/>
      <c r="H17" s="31"/>
      <c r="I17" s="31"/>
      <c r="K17" s="31"/>
      <c r="L17" s="31"/>
      <c r="M17" s="31"/>
      <c r="N17" s="31"/>
      <c r="O17" s="31"/>
      <c r="P17" s="31"/>
      <c r="Q17" s="31"/>
      <c r="R17" s="31"/>
      <c r="T17" s="31"/>
      <c r="U17" s="31"/>
      <c r="V17" s="31"/>
      <c r="W17" s="31"/>
      <c r="X17" s="31"/>
      <c r="Y17" s="31"/>
      <c r="Z17" s="31"/>
      <c r="AA17" s="31"/>
      <c r="AC17" s="31"/>
      <c r="AD17" s="31"/>
      <c r="AE17" s="31"/>
      <c r="AF17" s="31"/>
      <c r="AG17" s="31"/>
      <c r="AH17" s="31"/>
      <c r="AI17" s="31"/>
      <c r="AJ17" s="31"/>
    </row>
    <row r="18">
      <c r="G18" s="14" t="s">
        <v>108</v>
      </c>
      <c r="H18" s="14" t="s">
        <v>109</v>
      </c>
      <c r="I18" s="14" t="s">
        <v>110</v>
      </c>
      <c r="P18" s="14" t="s">
        <v>108</v>
      </c>
      <c r="Q18" s="14" t="s">
        <v>109</v>
      </c>
      <c r="R18" s="14" t="s">
        <v>110</v>
      </c>
      <c r="Y18" s="14" t="s">
        <v>108</v>
      </c>
      <c r="Z18" s="14" t="s">
        <v>109</v>
      </c>
      <c r="AA18" s="14" t="s">
        <v>110</v>
      </c>
      <c r="AH18" s="14" t="s">
        <v>108</v>
      </c>
      <c r="AI18" s="14" t="s">
        <v>109</v>
      </c>
      <c r="AJ18" s="14" t="s">
        <v>110</v>
      </c>
    </row>
    <row r="19">
      <c r="G19" s="15" t="s">
        <v>111</v>
      </c>
      <c r="H19" s="31"/>
      <c r="I19" s="31"/>
      <c r="P19" s="15" t="s">
        <v>111</v>
      </c>
      <c r="Q19" s="15" t="s">
        <v>112</v>
      </c>
      <c r="R19" s="15" t="s">
        <v>113</v>
      </c>
      <c r="Y19" s="15" t="s">
        <v>114</v>
      </c>
      <c r="Z19" s="31"/>
      <c r="AA19" s="31"/>
      <c r="AH19" s="15" t="s">
        <v>111</v>
      </c>
      <c r="AI19" s="31"/>
      <c r="AJ19" s="31"/>
    </row>
    <row r="22">
      <c r="B22" s="15" t="s">
        <v>115</v>
      </c>
      <c r="C22" s="15" t="s">
        <v>116</v>
      </c>
      <c r="D22" s="14" t="s">
        <v>44</v>
      </c>
      <c r="E22" s="14" t="s">
        <v>45</v>
      </c>
      <c r="F22" s="14" t="s">
        <v>46</v>
      </c>
      <c r="G22" s="14" t="s">
        <v>47</v>
      </c>
      <c r="H22" s="14" t="s">
        <v>49</v>
      </c>
      <c r="I22" s="14" t="s">
        <v>50</v>
      </c>
      <c r="K22" s="15" t="s">
        <v>115</v>
      </c>
      <c r="L22" s="15" t="s">
        <v>116</v>
      </c>
      <c r="M22" s="14" t="s">
        <v>44</v>
      </c>
      <c r="N22" s="14" t="s">
        <v>45</v>
      </c>
      <c r="O22" s="14" t="s">
        <v>46</v>
      </c>
      <c r="P22" s="14" t="s">
        <v>47</v>
      </c>
      <c r="Q22" s="14" t="s">
        <v>49</v>
      </c>
      <c r="R22" s="14" t="s">
        <v>50</v>
      </c>
      <c r="T22" s="15" t="s">
        <v>115</v>
      </c>
      <c r="U22" s="15" t="s">
        <v>116</v>
      </c>
      <c r="V22" s="14" t="s">
        <v>44</v>
      </c>
      <c r="W22" s="14" t="s">
        <v>45</v>
      </c>
      <c r="X22" s="14" t="s">
        <v>46</v>
      </c>
      <c r="Y22" s="14" t="s">
        <v>47</v>
      </c>
      <c r="Z22" s="14" t="s">
        <v>49</v>
      </c>
      <c r="AA22" s="14" t="s">
        <v>50</v>
      </c>
      <c r="AC22" s="15" t="s">
        <v>115</v>
      </c>
      <c r="AD22" s="15" t="s">
        <v>116</v>
      </c>
      <c r="AE22" s="14" t="s">
        <v>44</v>
      </c>
      <c r="AF22" s="14" t="s">
        <v>45</v>
      </c>
      <c r="AG22" s="14" t="s">
        <v>46</v>
      </c>
      <c r="AH22" s="14" t="s">
        <v>47</v>
      </c>
      <c r="AI22" s="14" t="s">
        <v>49</v>
      </c>
      <c r="AJ22" s="14" t="s">
        <v>50</v>
      </c>
    </row>
    <row r="23">
      <c r="B23" s="15" t="s">
        <v>119</v>
      </c>
      <c r="C23" s="31"/>
      <c r="D23" s="15">
        <v>1.0</v>
      </c>
      <c r="E23" s="15">
        <v>3.0</v>
      </c>
      <c r="F23" s="32" t="s">
        <v>60</v>
      </c>
      <c r="G23" s="15">
        <v>117.5</v>
      </c>
      <c r="H23" s="15">
        <v>5.0</v>
      </c>
      <c r="I23" s="31"/>
      <c r="K23" s="15" t="s">
        <v>119</v>
      </c>
      <c r="L23" s="31"/>
      <c r="M23" s="15">
        <v>1.0</v>
      </c>
      <c r="N23" s="15">
        <v>3.0</v>
      </c>
      <c r="O23" s="32" t="s">
        <v>64</v>
      </c>
      <c r="P23" s="15">
        <v>122.5</v>
      </c>
      <c r="Q23" s="32" t="s">
        <v>120</v>
      </c>
      <c r="R23" s="31"/>
      <c r="T23" s="15" t="s">
        <v>119</v>
      </c>
      <c r="U23" s="31"/>
      <c r="V23" s="15">
        <v>1.0</v>
      </c>
      <c r="W23" s="15">
        <v>3.0</v>
      </c>
      <c r="X23" s="32" t="s">
        <v>69</v>
      </c>
      <c r="Y23" s="32">
        <v>125.0</v>
      </c>
      <c r="Z23" s="32">
        <v>8.0</v>
      </c>
      <c r="AA23" s="31"/>
      <c r="AC23" s="15" t="s">
        <v>121</v>
      </c>
      <c r="AD23" s="31"/>
      <c r="AE23" s="15">
        <v>1.0</v>
      </c>
      <c r="AF23" s="15">
        <v>3.0</v>
      </c>
      <c r="AG23" s="15" t="s">
        <v>85</v>
      </c>
      <c r="AH23" s="15">
        <v>120.0</v>
      </c>
      <c r="AI23" s="15">
        <v>8.5</v>
      </c>
      <c r="AJ23" s="31"/>
    </row>
    <row r="24">
      <c r="B24" s="15" t="s">
        <v>119</v>
      </c>
      <c r="C24" s="31"/>
      <c r="D24" s="15">
        <v>2.0</v>
      </c>
      <c r="E24" s="15">
        <v>6.0</v>
      </c>
      <c r="F24" s="32" t="s">
        <v>73</v>
      </c>
      <c r="G24" s="15">
        <v>110.0</v>
      </c>
      <c r="H24" s="15">
        <v>6.0</v>
      </c>
      <c r="I24" s="31"/>
      <c r="K24" s="15" t="s">
        <v>119</v>
      </c>
      <c r="L24" s="31"/>
      <c r="M24" s="15">
        <v>2.0</v>
      </c>
      <c r="N24" s="15">
        <v>6.0</v>
      </c>
      <c r="O24" s="32" t="s">
        <v>75</v>
      </c>
      <c r="P24" s="15">
        <v>115.0</v>
      </c>
      <c r="Q24" s="32">
        <v>6.0</v>
      </c>
      <c r="R24" s="15" t="s">
        <v>122</v>
      </c>
      <c r="T24" s="15" t="s">
        <v>119</v>
      </c>
      <c r="U24" s="31"/>
      <c r="V24" s="15">
        <v>2.0</v>
      </c>
      <c r="W24" s="15">
        <v>6.0</v>
      </c>
      <c r="X24" s="32" t="s">
        <v>123</v>
      </c>
      <c r="Y24" s="32">
        <v>120.0</v>
      </c>
      <c r="Z24" s="37">
        <v>46273.0</v>
      </c>
      <c r="AA24" s="31"/>
      <c r="AC24" s="15" t="s">
        <v>121</v>
      </c>
      <c r="AD24" s="31"/>
      <c r="AE24" s="15">
        <v>2.0</v>
      </c>
      <c r="AF24" s="15">
        <v>6.0</v>
      </c>
      <c r="AG24" s="15" t="s">
        <v>85</v>
      </c>
      <c r="AH24" s="15">
        <v>110.0</v>
      </c>
      <c r="AI24" s="15">
        <v>8.0</v>
      </c>
      <c r="AJ24" s="31"/>
    </row>
    <row r="25">
      <c r="B25" s="15" t="s">
        <v>124</v>
      </c>
      <c r="C25" s="31"/>
      <c r="D25" s="15">
        <v>1.0</v>
      </c>
      <c r="E25" s="15">
        <v>3.0</v>
      </c>
      <c r="F25" s="32" t="s">
        <v>60</v>
      </c>
      <c r="G25" s="15">
        <v>82.5</v>
      </c>
      <c r="H25" s="15">
        <v>5.0</v>
      </c>
      <c r="I25" s="15" t="s">
        <v>125</v>
      </c>
      <c r="K25" s="15" t="s">
        <v>124</v>
      </c>
      <c r="L25" s="31"/>
      <c r="M25" s="15">
        <v>1.0</v>
      </c>
      <c r="N25" s="15">
        <v>3.0</v>
      </c>
      <c r="O25" s="32" t="s">
        <v>64</v>
      </c>
      <c r="P25" s="15">
        <v>87.5</v>
      </c>
      <c r="Q25" s="32">
        <v>6.5</v>
      </c>
      <c r="R25" s="31"/>
      <c r="T25" s="15" t="s">
        <v>124</v>
      </c>
      <c r="U25" s="31"/>
      <c r="V25" s="15">
        <v>1.0</v>
      </c>
      <c r="W25" s="15">
        <v>3.0</v>
      </c>
      <c r="X25" s="32" t="s">
        <v>69</v>
      </c>
      <c r="Y25" s="32">
        <v>90.0</v>
      </c>
      <c r="Z25" s="32">
        <v>7.0</v>
      </c>
      <c r="AA25" s="31"/>
      <c r="AC25" s="15" t="s">
        <v>126</v>
      </c>
      <c r="AD25" s="31"/>
      <c r="AE25" s="15">
        <v>1.0</v>
      </c>
      <c r="AF25" s="15">
        <v>3.0</v>
      </c>
      <c r="AG25" s="15" t="s">
        <v>85</v>
      </c>
      <c r="AH25" s="15">
        <v>97.5</v>
      </c>
      <c r="AI25" s="15">
        <v>10.0</v>
      </c>
      <c r="AJ25" s="15" t="s">
        <v>127</v>
      </c>
    </row>
    <row r="26">
      <c r="B26" s="15" t="s">
        <v>124</v>
      </c>
      <c r="C26" s="31"/>
      <c r="D26" s="15">
        <v>3.0</v>
      </c>
      <c r="E26" s="15">
        <v>5.0</v>
      </c>
      <c r="F26" s="32" t="s">
        <v>128</v>
      </c>
      <c r="G26" s="15">
        <v>77.5</v>
      </c>
      <c r="H26" s="15">
        <v>5.0</v>
      </c>
      <c r="I26" s="31"/>
      <c r="K26" s="15" t="s">
        <v>124</v>
      </c>
      <c r="L26" s="31"/>
      <c r="M26" s="15">
        <v>3.0</v>
      </c>
      <c r="N26" s="15">
        <v>5.0</v>
      </c>
      <c r="O26" s="32" t="s">
        <v>64</v>
      </c>
      <c r="P26" s="15">
        <v>80.0</v>
      </c>
      <c r="Q26" s="32" t="s">
        <v>129</v>
      </c>
      <c r="R26" s="31"/>
      <c r="T26" s="15" t="s">
        <v>124</v>
      </c>
      <c r="U26" s="31"/>
      <c r="V26" s="15">
        <v>3.0</v>
      </c>
      <c r="W26" s="15">
        <v>5.0</v>
      </c>
      <c r="X26" s="32" t="s">
        <v>69</v>
      </c>
      <c r="Y26" s="32">
        <v>82.5</v>
      </c>
      <c r="Z26" s="37">
        <v>46241.0</v>
      </c>
      <c r="AA26" s="31"/>
      <c r="AC26" s="15" t="s">
        <v>126</v>
      </c>
      <c r="AD26" s="31"/>
      <c r="AE26" s="15">
        <v>3.0</v>
      </c>
      <c r="AF26" s="15">
        <v>5.0</v>
      </c>
      <c r="AG26" s="15" t="s">
        <v>85</v>
      </c>
      <c r="AH26" s="15">
        <v>80.0</v>
      </c>
      <c r="AI26" s="15">
        <v>8.0</v>
      </c>
      <c r="AJ26" s="15" t="s">
        <v>131</v>
      </c>
    </row>
    <row r="27">
      <c r="B27" s="15" t="s">
        <v>132</v>
      </c>
      <c r="C27" s="31"/>
      <c r="D27" s="15">
        <v>3.0</v>
      </c>
      <c r="E27" s="36">
        <v>46366.0</v>
      </c>
      <c r="F27" s="32" t="s">
        <v>85</v>
      </c>
      <c r="G27" s="15">
        <v>47.5</v>
      </c>
      <c r="H27" s="15">
        <v>8.0</v>
      </c>
      <c r="I27" s="31"/>
      <c r="K27" s="15" t="s">
        <v>132</v>
      </c>
      <c r="L27" s="31"/>
      <c r="M27" s="15">
        <v>3.0</v>
      </c>
      <c r="N27" s="36">
        <v>46366.0</v>
      </c>
      <c r="O27" s="32" t="s">
        <v>100</v>
      </c>
      <c r="P27" s="15">
        <v>57.5</v>
      </c>
      <c r="Q27" s="33"/>
      <c r="R27" s="31"/>
      <c r="T27" s="15" t="s">
        <v>132</v>
      </c>
      <c r="U27" s="31"/>
      <c r="V27" s="15">
        <v>3.0</v>
      </c>
      <c r="W27" s="36">
        <v>46366.0</v>
      </c>
      <c r="X27" s="32" t="s">
        <v>134</v>
      </c>
      <c r="Y27" s="32">
        <v>60.0</v>
      </c>
      <c r="Z27" s="32">
        <v>9.0</v>
      </c>
      <c r="AA27" s="31"/>
      <c r="AC27" s="15" t="s">
        <v>132</v>
      </c>
      <c r="AD27" s="31"/>
      <c r="AE27" s="15">
        <v>3.0</v>
      </c>
      <c r="AF27" s="36">
        <v>46366.0</v>
      </c>
      <c r="AG27" s="15" t="s">
        <v>92</v>
      </c>
      <c r="AH27" s="31"/>
      <c r="AI27" s="31"/>
      <c r="AJ27" s="31"/>
    </row>
    <row r="28">
      <c r="B28" s="15" t="s">
        <v>135</v>
      </c>
      <c r="C28" s="31"/>
      <c r="D28" s="15">
        <v>2.0</v>
      </c>
      <c r="E28" s="15">
        <v>10.0</v>
      </c>
      <c r="F28" s="32" t="s">
        <v>85</v>
      </c>
      <c r="G28" s="15" t="s">
        <v>136</v>
      </c>
      <c r="H28" s="31"/>
      <c r="I28" s="15" t="s">
        <v>137</v>
      </c>
      <c r="K28" s="15" t="s">
        <v>138</v>
      </c>
      <c r="L28" s="31"/>
      <c r="M28" s="15">
        <v>2.0</v>
      </c>
      <c r="N28" s="15">
        <v>10.0</v>
      </c>
      <c r="O28" s="32" t="s">
        <v>100</v>
      </c>
      <c r="P28" s="15">
        <v>24.0</v>
      </c>
      <c r="Q28" s="32">
        <v>7.0</v>
      </c>
      <c r="R28" s="15" t="s">
        <v>139</v>
      </c>
      <c r="T28" s="15" t="s">
        <v>138</v>
      </c>
      <c r="U28" s="31"/>
      <c r="V28" s="15">
        <v>2.0</v>
      </c>
      <c r="W28" s="15">
        <v>10.0</v>
      </c>
      <c r="X28" s="32" t="s">
        <v>134</v>
      </c>
      <c r="Y28" s="32">
        <v>26.0</v>
      </c>
      <c r="Z28" s="33"/>
      <c r="AA28" s="31"/>
      <c r="AC28" s="15" t="s">
        <v>138</v>
      </c>
      <c r="AD28" s="31"/>
      <c r="AE28" s="15">
        <v>2.0</v>
      </c>
      <c r="AF28" s="15">
        <v>10.0</v>
      </c>
      <c r="AG28" s="15" t="s">
        <v>92</v>
      </c>
      <c r="AH28" s="15">
        <v>26.0</v>
      </c>
      <c r="AI28" s="31"/>
      <c r="AJ28" s="31"/>
    </row>
    <row r="29">
      <c r="B29" s="15" t="s">
        <v>141</v>
      </c>
      <c r="C29" s="31"/>
      <c r="D29" s="15">
        <v>3.0</v>
      </c>
      <c r="E29" s="38" t="s">
        <v>142</v>
      </c>
      <c r="F29" s="32" t="s">
        <v>85</v>
      </c>
      <c r="G29" s="31"/>
      <c r="H29" s="31"/>
      <c r="I29" s="31"/>
      <c r="K29" s="15" t="s">
        <v>141</v>
      </c>
      <c r="L29" s="31"/>
      <c r="M29" s="15">
        <v>3.0</v>
      </c>
      <c r="N29" s="38" t="s">
        <v>142</v>
      </c>
      <c r="O29" s="32" t="s">
        <v>100</v>
      </c>
      <c r="P29" s="15">
        <v>95.0</v>
      </c>
      <c r="Q29" s="32">
        <v>8.0</v>
      </c>
      <c r="R29" s="31"/>
      <c r="T29" s="15" t="s">
        <v>143</v>
      </c>
      <c r="U29" s="31"/>
      <c r="V29" s="15">
        <v>3.0</v>
      </c>
      <c r="W29" s="38" t="s">
        <v>142</v>
      </c>
      <c r="X29" s="32" t="s">
        <v>134</v>
      </c>
      <c r="Y29" s="33"/>
      <c r="Z29" s="33"/>
      <c r="AA29" s="31"/>
      <c r="AC29" s="15" t="s">
        <v>141</v>
      </c>
      <c r="AD29" s="31"/>
      <c r="AE29" s="15">
        <v>3.0</v>
      </c>
      <c r="AF29" s="32" t="s">
        <v>142</v>
      </c>
      <c r="AG29" s="15" t="s">
        <v>92</v>
      </c>
      <c r="AH29" s="31"/>
      <c r="AI29" s="31"/>
      <c r="AJ29" s="31"/>
    </row>
    <row r="30">
      <c r="B30" s="15" t="s">
        <v>144</v>
      </c>
      <c r="C30" s="31"/>
      <c r="D30" s="15">
        <v>3.0</v>
      </c>
      <c r="E30" s="36">
        <v>46366.0</v>
      </c>
      <c r="F30" s="32" t="s">
        <v>85</v>
      </c>
      <c r="G30" s="15">
        <v>16.0</v>
      </c>
      <c r="H30" s="31"/>
      <c r="I30" s="31"/>
      <c r="K30" s="15" t="s">
        <v>144</v>
      </c>
      <c r="L30" s="31"/>
      <c r="M30" s="15">
        <v>3.0</v>
      </c>
      <c r="N30" s="36">
        <v>46366.0</v>
      </c>
      <c r="O30" s="32" t="s">
        <v>100</v>
      </c>
      <c r="P30" s="31"/>
      <c r="Q30" s="31"/>
      <c r="R30" s="31"/>
      <c r="T30" s="15" t="s">
        <v>144</v>
      </c>
      <c r="U30" s="31"/>
      <c r="V30" s="15">
        <v>3.0</v>
      </c>
      <c r="W30" s="36">
        <v>46366.0</v>
      </c>
      <c r="X30" s="32" t="s">
        <v>134</v>
      </c>
      <c r="Y30" s="33"/>
      <c r="Z30" s="33"/>
      <c r="AA30" s="31"/>
      <c r="AC30" s="15" t="s">
        <v>144</v>
      </c>
      <c r="AD30" s="31"/>
      <c r="AE30" s="15">
        <v>3.0</v>
      </c>
      <c r="AF30" s="37">
        <v>46366.0</v>
      </c>
      <c r="AG30" s="15" t="s">
        <v>92</v>
      </c>
      <c r="AH30" s="31"/>
      <c r="AI30" s="31"/>
      <c r="AJ30" s="31"/>
    </row>
    <row r="31">
      <c r="B31" s="31"/>
      <c r="C31" s="31"/>
      <c r="D31" s="31"/>
      <c r="E31" s="31"/>
      <c r="F31" s="31"/>
      <c r="G31" s="31"/>
      <c r="H31" s="31"/>
      <c r="I31" s="31"/>
      <c r="K31" s="31"/>
      <c r="L31" s="31"/>
      <c r="M31" s="31"/>
      <c r="N31" s="31"/>
      <c r="O31" s="31"/>
      <c r="P31" s="31"/>
      <c r="Q31" s="31"/>
      <c r="R31" s="31"/>
      <c r="T31" s="31"/>
      <c r="U31" s="31"/>
      <c r="V31" s="31"/>
      <c r="W31" s="31"/>
      <c r="X31" s="31"/>
      <c r="Y31" s="31"/>
      <c r="Z31" s="31"/>
      <c r="AA31" s="31"/>
      <c r="AC31" s="31"/>
      <c r="AD31" s="31"/>
      <c r="AE31" s="31"/>
      <c r="AF31" s="31"/>
      <c r="AG31" s="31"/>
      <c r="AH31" s="31"/>
      <c r="AI31" s="31"/>
      <c r="AJ31" s="31"/>
    </row>
    <row r="32">
      <c r="G32" s="14" t="s">
        <v>108</v>
      </c>
      <c r="H32" s="14" t="s">
        <v>109</v>
      </c>
      <c r="I32" s="14" t="s">
        <v>110</v>
      </c>
      <c r="P32" s="14" t="s">
        <v>108</v>
      </c>
      <c r="Q32" s="14" t="s">
        <v>109</v>
      </c>
      <c r="R32" s="14" t="s">
        <v>110</v>
      </c>
      <c r="Y32" s="14" t="s">
        <v>108</v>
      </c>
      <c r="Z32" s="14" t="s">
        <v>109</v>
      </c>
      <c r="AA32" s="14" t="s">
        <v>110</v>
      </c>
      <c r="AH32" s="14" t="s">
        <v>108</v>
      </c>
      <c r="AI32" s="14" t="s">
        <v>109</v>
      </c>
      <c r="AJ32" s="14" t="s">
        <v>110</v>
      </c>
    </row>
    <row r="33">
      <c r="G33" s="15" t="s">
        <v>114</v>
      </c>
      <c r="H33" s="15" t="s">
        <v>154</v>
      </c>
      <c r="I33" s="31"/>
      <c r="P33" s="15" t="s">
        <v>114</v>
      </c>
      <c r="Q33" s="31"/>
      <c r="R33" s="31"/>
      <c r="Y33" s="15" t="s">
        <v>111</v>
      </c>
      <c r="Z33" s="31"/>
      <c r="AA33" s="31"/>
      <c r="AH33" s="15" t="s">
        <v>111</v>
      </c>
      <c r="AI33" s="31"/>
      <c r="AJ33" s="31"/>
    </row>
    <row r="36">
      <c r="B36" s="15" t="s">
        <v>155</v>
      </c>
      <c r="C36" s="15" t="s">
        <v>156</v>
      </c>
      <c r="D36" s="14" t="s">
        <v>44</v>
      </c>
      <c r="E36" s="14" t="s">
        <v>45</v>
      </c>
      <c r="F36" s="14" t="s">
        <v>46</v>
      </c>
      <c r="G36" s="14" t="s">
        <v>47</v>
      </c>
      <c r="H36" s="14" t="s">
        <v>49</v>
      </c>
      <c r="I36" s="14" t="s">
        <v>50</v>
      </c>
      <c r="K36" s="15" t="s">
        <v>155</v>
      </c>
      <c r="L36" s="15" t="s">
        <v>156</v>
      </c>
      <c r="M36" s="14" t="s">
        <v>44</v>
      </c>
      <c r="N36" s="14" t="s">
        <v>45</v>
      </c>
      <c r="O36" s="14" t="s">
        <v>46</v>
      </c>
      <c r="P36" s="14" t="s">
        <v>47</v>
      </c>
      <c r="Q36" s="14" t="s">
        <v>49</v>
      </c>
      <c r="R36" s="14" t="s">
        <v>50</v>
      </c>
      <c r="T36" s="15" t="s">
        <v>155</v>
      </c>
      <c r="U36" s="15" t="s">
        <v>157</v>
      </c>
      <c r="V36" s="14" t="s">
        <v>44</v>
      </c>
      <c r="W36" s="14" t="s">
        <v>45</v>
      </c>
      <c r="X36" s="14" t="s">
        <v>46</v>
      </c>
      <c r="Y36" s="14" t="s">
        <v>47</v>
      </c>
      <c r="Z36" s="14" t="s">
        <v>49</v>
      </c>
      <c r="AA36" s="14" t="s">
        <v>50</v>
      </c>
      <c r="AC36" s="15" t="s">
        <v>155</v>
      </c>
      <c r="AD36" s="15" t="s">
        <v>156</v>
      </c>
      <c r="AE36" s="14" t="s">
        <v>44</v>
      </c>
      <c r="AF36" s="14" t="s">
        <v>45</v>
      </c>
      <c r="AG36" s="14" t="s">
        <v>46</v>
      </c>
      <c r="AH36" s="14" t="s">
        <v>47</v>
      </c>
      <c r="AI36" s="14" t="s">
        <v>49</v>
      </c>
      <c r="AJ36" s="14" t="s">
        <v>50</v>
      </c>
    </row>
    <row r="37">
      <c r="B37" s="15" t="s">
        <v>159</v>
      </c>
      <c r="C37" s="31"/>
      <c r="D37" s="15">
        <v>3.0</v>
      </c>
      <c r="E37" s="15">
        <v>4.0</v>
      </c>
      <c r="F37" s="32" t="s">
        <v>60</v>
      </c>
      <c r="G37" s="15">
        <v>70.0</v>
      </c>
      <c r="H37" s="15">
        <v>6.0</v>
      </c>
      <c r="I37" s="15" t="s">
        <v>160</v>
      </c>
      <c r="K37" s="15" t="s">
        <v>159</v>
      </c>
      <c r="L37" s="31"/>
      <c r="M37" s="15">
        <v>3.0</v>
      </c>
      <c r="N37" s="15">
        <v>4.0</v>
      </c>
      <c r="O37" s="32" t="s">
        <v>64</v>
      </c>
      <c r="P37" s="15">
        <v>70.0</v>
      </c>
      <c r="Q37" s="15">
        <v>6.0</v>
      </c>
      <c r="R37" s="31"/>
      <c r="T37" s="15" t="s">
        <v>159</v>
      </c>
      <c r="U37" s="31"/>
      <c r="V37" s="15">
        <v>3.0</v>
      </c>
      <c r="W37" s="15">
        <v>4.0</v>
      </c>
      <c r="X37" s="32" t="s">
        <v>69</v>
      </c>
      <c r="Y37" s="32">
        <v>75.0</v>
      </c>
      <c r="Z37" s="33"/>
      <c r="AA37" s="31"/>
      <c r="AC37" s="15" t="s">
        <v>159</v>
      </c>
      <c r="AD37" s="31"/>
      <c r="AE37" s="15">
        <v>3.0</v>
      </c>
      <c r="AF37" s="15">
        <v>4.0</v>
      </c>
      <c r="AG37" s="15" t="s">
        <v>85</v>
      </c>
      <c r="AH37" s="15">
        <v>80.0</v>
      </c>
      <c r="AI37" s="15">
        <v>8.0</v>
      </c>
      <c r="AJ37" s="31"/>
    </row>
    <row r="38">
      <c r="B38" s="15" t="s">
        <v>25</v>
      </c>
      <c r="C38" s="31"/>
      <c r="D38" s="15">
        <v>3.0</v>
      </c>
      <c r="E38" s="36">
        <v>46240.0</v>
      </c>
      <c r="F38" s="32" t="s">
        <v>85</v>
      </c>
      <c r="G38" s="15">
        <v>30.0</v>
      </c>
      <c r="H38" s="15">
        <v>8.0</v>
      </c>
      <c r="I38" s="31"/>
      <c r="K38" s="15" t="s">
        <v>25</v>
      </c>
      <c r="L38" s="31"/>
      <c r="M38" s="15">
        <v>3.0</v>
      </c>
      <c r="N38" s="36">
        <v>46240.0</v>
      </c>
      <c r="O38" s="32" t="s">
        <v>100</v>
      </c>
      <c r="P38" s="15">
        <v>40.0</v>
      </c>
      <c r="Q38" s="15">
        <v>8.0</v>
      </c>
      <c r="R38" s="31"/>
      <c r="T38" s="15" t="s">
        <v>25</v>
      </c>
      <c r="U38" s="31"/>
      <c r="V38" s="15">
        <v>3.0</v>
      </c>
      <c r="W38" s="36">
        <v>46240.0</v>
      </c>
      <c r="X38" s="32" t="s">
        <v>134</v>
      </c>
      <c r="Y38" s="32" t="s">
        <v>117</v>
      </c>
      <c r="Z38" s="33"/>
      <c r="AA38" s="31"/>
      <c r="AC38" s="15" t="s">
        <v>25</v>
      </c>
      <c r="AD38" s="31"/>
      <c r="AE38" s="15">
        <v>3.0</v>
      </c>
      <c r="AF38" s="36">
        <v>46240.0</v>
      </c>
      <c r="AG38" s="15" t="s">
        <v>92</v>
      </c>
      <c r="AH38" s="15">
        <v>40.0</v>
      </c>
      <c r="AI38" s="15">
        <v>8.0</v>
      </c>
      <c r="AJ38" s="31"/>
    </row>
    <row r="39">
      <c r="B39" s="15" t="s">
        <v>161</v>
      </c>
      <c r="C39" s="31"/>
      <c r="D39" s="15">
        <v>3.0</v>
      </c>
      <c r="E39" s="36">
        <v>46303.0</v>
      </c>
      <c r="F39" s="32" t="s">
        <v>85</v>
      </c>
      <c r="G39" s="15">
        <v>40.0</v>
      </c>
      <c r="H39" s="15">
        <v>10.0</v>
      </c>
      <c r="I39" s="31"/>
      <c r="K39" s="15" t="s">
        <v>161</v>
      </c>
      <c r="L39" s="31"/>
      <c r="M39" s="15">
        <v>3.0</v>
      </c>
      <c r="N39" s="36">
        <v>46303.0</v>
      </c>
      <c r="O39" s="32" t="s">
        <v>100</v>
      </c>
      <c r="P39" s="15">
        <v>80.0</v>
      </c>
      <c r="Q39" s="15">
        <v>9.0</v>
      </c>
      <c r="R39" s="31"/>
      <c r="T39" s="15" t="s">
        <v>161</v>
      </c>
      <c r="U39" s="31"/>
      <c r="V39" s="15">
        <v>3.0</v>
      </c>
      <c r="W39" s="36">
        <v>46303.0</v>
      </c>
      <c r="X39" s="32" t="s">
        <v>134</v>
      </c>
      <c r="Y39" s="32">
        <v>80.0</v>
      </c>
      <c r="Z39" s="33"/>
      <c r="AA39" s="31"/>
      <c r="AC39" s="15" t="s">
        <v>161</v>
      </c>
      <c r="AD39" s="31"/>
      <c r="AE39" s="15">
        <v>3.0</v>
      </c>
      <c r="AF39" s="36">
        <v>46303.0</v>
      </c>
      <c r="AG39" s="15" t="s">
        <v>92</v>
      </c>
      <c r="AH39" s="15">
        <v>70.0</v>
      </c>
      <c r="AI39" s="31"/>
      <c r="AJ39" s="31"/>
    </row>
    <row r="40">
      <c r="B40" s="15" t="s">
        <v>162</v>
      </c>
      <c r="C40" s="31"/>
      <c r="D40" s="15">
        <v>3.0</v>
      </c>
      <c r="E40" s="38" t="s">
        <v>142</v>
      </c>
      <c r="F40" s="32" t="s">
        <v>85</v>
      </c>
      <c r="G40" s="15">
        <v>28.75</v>
      </c>
      <c r="H40" s="15">
        <v>7.0</v>
      </c>
      <c r="I40" s="31"/>
      <c r="K40" s="15" t="s">
        <v>162</v>
      </c>
      <c r="L40" s="31"/>
      <c r="M40" s="15">
        <v>3.0</v>
      </c>
      <c r="N40" s="38" t="s">
        <v>142</v>
      </c>
      <c r="O40" s="32" t="s">
        <v>100</v>
      </c>
      <c r="P40" s="15">
        <v>28.75</v>
      </c>
      <c r="Q40" s="15">
        <v>8.0</v>
      </c>
      <c r="R40" s="31"/>
      <c r="T40" s="15" t="s">
        <v>162</v>
      </c>
      <c r="U40" s="31"/>
      <c r="V40" s="15">
        <v>3.0</v>
      </c>
      <c r="W40" s="38" t="s">
        <v>142</v>
      </c>
      <c r="X40" s="32" t="s">
        <v>134</v>
      </c>
      <c r="Y40" s="32">
        <v>27.0</v>
      </c>
      <c r="Z40" s="33"/>
      <c r="AA40" s="31"/>
      <c r="AC40" s="15" t="s">
        <v>162</v>
      </c>
      <c r="AD40" s="31"/>
      <c r="AE40" s="15">
        <v>3.0</v>
      </c>
      <c r="AF40" s="15" t="s">
        <v>142</v>
      </c>
      <c r="AG40" s="15" t="s">
        <v>92</v>
      </c>
      <c r="AH40" s="15">
        <v>25.0</v>
      </c>
      <c r="AI40" s="31"/>
      <c r="AJ40" s="31"/>
    </row>
    <row r="41">
      <c r="B41" s="15" t="s">
        <v>163</v>
      </c>
      <c r="C41" s="31"/>
      <c r="D41" s="15">
        <v>3.0</v>
      </c>
      <c r="E41" s="36">
        <v>46303.0</v>
      </c>
      <c r="F41" s="32" t="s">
        <v>85</v>
      </c>
      <c r="G41" s="15">
        <v>20.0</v>
      </c>
      <c r="H41" s="15">
        <v>8.0</v>
      </c>
      <c r="I41" s="31"/>
      <c r="K41" s="15" t="s">
        <v>163</v>
      </c>
      <c r="L41" s="31"/>
      <c r="M41" s="15">
        <v>3.0</v>
      </c>
      <c r="N41" s="36">
        <v>46303.0</v>
      </c>
      <c r="O41" s="32" t="s">
        <v>100</v>
      </c>
      <c r="P41" s="15">
        <v>20.0</v>
      </c>
      <c r="Q41" s="15">
        <v>8.0</v>
      </c>
      <c r="R41" s="31"/>
      <c r="T41" s="15" t="s">
        <v>163</v>
      </c>
      <c r="U41" s="31"/>
      <c r="V41" s="15">
        <v>3.0</v>
      </c>
      <c r="W41" s="36">
        <v>46303.0</v>
      </c>
      <c r="X41" s="32" t="s">
        <v>134</v>
      </c>
      <c r="Y41" s="32">
        <v>20.0</v>
      </c>
      <c r="Z41" s="33"/>
      <c r="AA41" s="31"/>
      <c r="AC41" s="15" t="s">
        <v>163</v>
      </c>
      <c r="AD41" s="31"/>
      <c r="AE41" s="15">
        <v>3.0</v>
      </c>
      <c r="AF41" s="36">
        <v>46303.0</v>
      </c>
      <c r="AG41" s="15" t="s">
        <v>92</v>
      </c>
      <c r="AH41" s="15">
        <v>20.0</v>
      </c>
      <c r="AI41" s="31"/>
      <c r="AJ41" s="31"/>
    </row>
    <row r="42">
      <c r="B42" s="15" t="s">
        <v>164</v>
      </c>
      <c r="C42" s="31"/>
      <c r="D42" s="15">
        <v>3.0</v>
      </c>
      <c r="E42" s="36">
        <v>46366.0</v>
      </c>
      <c r="F42" s="32" t="s">
        <v>85</v>
      </c>
      <c r="G42" s="15">
        <v>30.0</v>
      </c>
      <c r="H42" s="15">
        <v>8.0</v>
      </c>
      <c r="I42" s="31"/>
      <c r="K42" s="15" t="s">
        <v>164</v>
      </c>
      <c r="L42" s="31"/>
      <c r="M42" s="15">
        <v>3.0</v>
      </c>
      <c r="N42" s="36">
        <v>46366.0</v>
      </c>
      <c r="O42" s="32" t="s">
        <v>100</v>
      </c>
      <c r="P42" s="15">
        <v>35.0</v>
      </c>
      <c r="Q42" s="15">
        <v>8.5</v>
      </c>
      <c r="R42" s="31"/>
      <c r="T42" s="15" t="s">
        <v>164</v>
      </c>
      <c r="U42" s="31"/>
      <c r="V42" s="15">
        <v>3.0</v>
      </c>
      <c r="W42" s="36">
        <v>46366.0</v>
      </c>
      <c r="X42" s="32" t="s">
        <v>134</v>
      </c>
      <c r="Y42" s="32">
        <v>12.0</v>
      </c>
      <c r="Z42" s="33"/>
      <c r="AA42" s="31"/>
      <c r="AC42" s="15" t="s">
        <v>165</v>
      </c>
      <c r="AD42" s="31"/>
      <c r="AE42" s="15">
        <v>3.0</v>
      </c>
      <c r="AF42" s="36">
        <v>46366.0</v>
      </c>
      <c r="AG42" s="15" t="s">
        <v>92</v>
      </c>
      <c r="AH42" s="15">
        <v>30.0</v>
      </c>
      <c r="AI42" s="31"/>
      <c r="AJ42" s="31"/>
    </row>
    <row r="43">
      <c r="B43" s="15" t="s">
        <v>166</v>
      </c>
      <c r="C43" s="31"/>
      <c r="D43" s="31"/>
      <c r="E43" s="31"/>
      <c r="F43" s="31"/>
      <c r="G43" s="15">
        <v>60.0</v>
      </c>
      <c r="H43" s="15">
        <v>8.0</v>
      </c>
      <c r="I43" s="31"/>
      <c r="K43" s="31"/>
      <c r="L43" s="31"/>
      <c r="M43" s="31"/>
      <c r="N43" s="31"/>
      <c r="O43" s="31"/>
      <c r="P43" s="31"/>
      <c r="Q43" s="31"/>
      <c r="R43" s="31"/>
      <c r="T43" s="31"/>
      <c r="U43" s="31"/>
      <c r="V43" s="31"/>
      <c r="W43" s="31"/>
      <c r="X43" s="31"/>
      <c r="Y43" s="31"/>
      <c r="Z43" s="33"/>
      <c r="AA43" s="31"/>
      <c r="AC43" s="31"/>
      <c r="AD43" s="31"/>
      <c r="AE43" s="31"/>
      <c r="AF43" s="31"/>
      <c r="AG43" s="31"/>
      <c r="AH43" s="31"/>
      <c r="AI43" s="31"/>
      <c r="AJ43" s="31"/>
    </row>
    <row r="44">
      <c r="B44" s="31"/>
      <c r="C44" s="31"/>
      <c r="D44" s="31"/>
      <c r="E44" s="31"/>
      <c r="F44" s="31"/>
      <c r="G44" s="31"/>
      <c r="H44" s="31"/>
      <c r="I44" s="31"/>
      <c r="K44" s="31"/>
      <c r="L44" s="31"/>
      <c r="M44" s="31"/>
      <c r="N44" s="31"/>
      <c r="O44" s="31"/>
      <c r="P44" s="31"/>
      <c r="Q44" s="31"/>
      <c r="R44" s="31"/>
      <c r="T44" s="31"/>
      <c r="U44" s="31"/>
      <c r="V44" s="31"/>
      <c r="W44" s="31"/>
      <c r="X44" s="31"/>
      <c r="Y44" s="31"/>
      <c r="Z44" s="31"/>
      <c r="AA44" s="31"/>
      <c r="AC44" s="31"/>
      <c r="AD44" s="31"/>
      <c r="AE44" s="31"/>
      <c r="AF44" s="31"/>
      <c r="AG44" s="31"/>
      <c r="AH44" s="31"/>
      <c r="AI44" s="31"/>
      <c r="AJ44" s="31"/>
    </row>
    <row r="45">
      <c r="B45" s="31"/>
      <c r="C45" s="31"/>
      <c r="D45" s="31"/>
      <c r="E45" s="31"/>
      <c r="F45" s="31"/>
      <c r="G45" s="31"/>
      <c r="H45" s="31"/>
      <c r="I45" s="31"/>
      <c r="K45" s="31"/>
      <c r="L45" s="31"/>
      <c r="M45" s="31"/>
      <c r="N45" s="31"/>
      <c r="O45" s="31"/>
      <c r="P45" s="31"/>
      <c r="Q45" s="31"/>
      <c r="R45" s="31"/>
      <c r="T45" s="31"/>
      <c r="U45" s="31"/>
      <c r="V45" s="31"/>
      <c r="W45" s="31"/>
      <c r="X45" s="31"/>
      <c r="Y45" s="31"/>
      <c r="Z45" s="31"/>
      <c r="AA45" s="31"/>
      <c r="AC45" s="31"/>
      <c r="AD45" s="31"/>
      <c r="AE45" s="31"/>
      <c r="AF45" s="31"/>
      <c r="AG45" s="31"/>
      <c r="AH45" s="31"/>
      <c r="AI45" s="31"/>
      <c r="AJ45" s="31"/>
    </row>
    <row r="46">
      <c r="G46" s="14" t="s">
        <v>108</v>
      </c>
      <c r="H46" s="14" t="s">
        <v>109</v>
      </c>
      <c r="I46" s="14" t="s">
        <v>110</v>
      </c>
      <c r="P46" s="14" t="s">
        <v>108</v>
      </c>
      <c r="Q46" s="14" t="s">
        <v>109</v>
      </c>
      <c r="R46" s="14" t="s">
        <v>110</v>
      </c>
      <c r="Y46" s="14" t="s">
        <v>108</v>
      </c>
      <c r="Z46" s="14" t="s">
        <v>109</v>
      </c>
      <c r="AA46" s="14" t="s">
        <v>110</v>
      </c>
      <c r="AH46" s="14" t="s">
        <v>108</v>
      </c>
      <c r="AI46" s="14" t="s">
        <v>109</v>
      </c>
      <c r="AJ46" s="14" t="s">
        <v>110</v>
      </c>
    </row>
    <row r="47">
      <c r="G47" s="15" t="s">
        <v>111</v>
      </c>
      <c r="H47" s="31"/>
      <c r="I47" s="31"/>
      <c r="P47" s="15" t="s">
        <v>117</v>
      </c>
      <c r="Q47" s="31"/>
      <c r="R47" s="31"/>
      <c r="Y47" s="15" t="s">
        <v>111</v>
      </c>
      <c r="Z47" s="15" t="s">
        <v>118</v>
      </c>
      <c r="AA47" s="15">
        <v>20.0</v>
      </c>
      <c r="AH47" s="15" t="s">
        <v>111</v>
      </c>
      <c r="AI47" s="31"/>
      <c r="AJ47" s="31"/>
    </row>
    <row r="49">
      <c r="K49" s="14" t="s">
        <v>167</v>
      </c>
      <c r="L49" s="14" t="s">
        <v>44</v>
      </c>
      <c r="M49" s="14" t="s">
        <v>45</v>
      </c>
      <c r="N49" s="14" t="s">
        <v>46</v>
      </c>
      <c r="O49" s="14" t="s">
        <v>47</v>
      </c>
      <c r="P49" s="14" t="s">
        <v>49</v>
      </c>
      <c r="Q49" s="14" t="s">
        <v>50</v>
      </c>
      <c r="T49" s="14" t="s">
        <v>168</v>
      </c>
      <c r="U49" s="14" t="s">
        <v>44</v>
      </c>
      <c r="V49" s="14" t="s">
        <v>45</v>
      </c>
      <c r="W49" s="14" t="s">
        <v>46</v>
      </c>
      <c r="X49" s="14" t="s">
        <v>47</v>
      </c>
      <c r="Y49" s="14" t="s">
        <v>49</v>
      </c>
      <c r="Z49" s="14" t="s">
        <v>50</v>
      </c>
      <c r="AC49" s="14" t="s">
        <v>168</v>
      </c>
      <c r="AD49" s="14" t="s">
        <v>44</v>
      </c>
      <c r="AE49" s="14" t="s">
        <v>45</v>
      </c>
      <c r="AF49" s="14" t="s">
        <v>46</v>
      </c>
      <c r="AG49" s="14" t="s">
        <v>47</v>
      </c>
      <c r="AH49" s="14" t="s">
        <v>49</v>
      </c>
      <c r="AI49" s="14" t="s">
        <v>50</v>
      </c>
    </row>
    <row r="50">
      <c r="K50" s="15" t="s">
        <v>117</v>
      </c>
      <c r="L50" s="48" t="str">
        <f t="shared" ref="L50:L52" si="1">IFERROR(VLOOKUP($K50, $K$59:$R$64, 3, FALSE), "")</f>
        <v/>
      </c>
      <c r="M50" s="48" t="str">
        <f t="shared" ref="M50:M52" si="2">IFERROR(VLOOKUP($K50, $K$59:$R$64, 4, FALSE), "")</f>
        <v/>
      </c>
      <c r="N50" s="48" t="str">
        <f t="shared" ref="N50:N52" si="3">IFERROR(VLOOKUP($K50, $K$59:$R$64, 5, FALSE), "")</f>
        <v/>
      </c>
      <c r="O50" s="31"/>
      <c r="P50" s="31"/>
      <c r="Q50" s="31"/>
      <c r="T50" s="15" t="s">
        <v>117</v>
      </c>
      <c r="U50" s="48" t="str">
        <f t="shared" ref="U50:U52" si="4">IFERROR(VLOOKUP($T50, $T$59:$AA$64, 3, FALSE), "")</f>
        <v/>
      </c>
      <c r="V50" s="48" t="str">
        <f t="shared" ref="V50:V52" si="5">IFERROR(VLOOKUP($T50, $T$59:$AA$64, 4, FALSE), "")</f>
        <v/>
      </c>
      <c r="W50" s="48" t="str">
        <f t="shared" ref="W50:W52" si="6">IFERROR(VLOOKUP($T50, $T$59:$AA$64, 5, FALSE), "")</f>
        <v/>
      </c>
      <c r="X50" s="31"/>
      <c r="Y50" s="31"/>
      <c r="Z50" s="31"/>
      <c r="AC50" s="15" t="s">
        <v>117</v>
      </c>
      <c r="AD50" s="48" t="str">
        <f t="shared" ref="AD50:AD52" si="7">IFERROR(VLOOKUP($K50, $K$59:$R$64, 3, FALSE), "")</f>
        <v/>
      </c>
      <c r="AE50" s="48" t="str">
        <f t="shared" ref="AE50:AE52" si="8">IFERROR(VLOOKUP($K50, $K$59:$R$64, 4, FALSE), "")</f>
        <v/>
      </c>
      <c r="AF50" s="48" t="str">
        <f t="shared" ref="AF50:AF52" si="9">IFERROR(VLOOKUP($K50, $K$59:$R$64, 5, FALSE), "")</f>
        <v/>
      </c>
      <c r="AG50" s="31"/>
      <c r="AH50" s="31"/>
      <c r="AI50" s="31"/>
    </row>
    <row r="51">
      <c r="K51" s="15" t="s">
        <v>117</v>
      </c>
      <c r="L51" s="31" t="str">
        <f t="shared" si="1"/>
        <v/>
      </c>
      <c r="M51" s="31" t="str">
        <f t="shared" si="2"/>
        <v/>
      </c>
      <c r="N51" s="31" t="str">
        <f t="shared" si="3"/>
        <v/>
      </c>
      <c r="O51" s="31"/>
      <c r="P51" s="31"/>
      <c r="Q51" s="31"/>
      <c r="T51" s="15" t="s">
        <v>117</v>
      </c>
      <c r="U51" s="31" t="str">
        <f t="shared" si="4"/>
        <v/>
      </c>
      <c r="V51" s="31" t="str">
        <f t="shared" si="5"/>
        <v/>
      </c>
      <c r="W51" s="31" t="str">
        <f t="shared" si="6"/>
        <v/>
      </c>
      <c r="X51" s="31"/>
      <c r="Y51" s="31"/>
      <c r="Z51" s="31"/>
      <c r="AC51" s="15" t="s">
        <v>117</v>
      </c>
      <c r="AD51" s="31" t="str">
        <f t="shared" si="7"/>
        <v/>
      </c>
      <c r="AE51" s="31" t="str">
        <f t="shared" si="8"/>
        <v/>
      </c>
      <c r="AF51" s="31" t="str">
        <f t="shared" si="9"/>
        <v/>
      </c>
      <c r="AG51" s="31"/>
      <c r="AH51" s="31"/>
      <c r="AI51" s="31"/>
    </row>
    <row r="52">
      <c r="K52" s="15" t="s">
        <v>117</v>
      </c>
      <c r="L52" s="31" t="str">
        <f t="shared" si="1"/>
        <v/>
      </c>
      <c r="M52" s="31" t="str">
        <f t="shared" si="2"/>
        <v/>
      </c>
      <c r="N52" s="31" t="str">
        <f t="shared" si="3"/>
        <v/>
      </c>
      <c r="O52" s="31"/>
      <c r="P52" s="31"/>
      <c r="Q52" s="31"/>
      <c r="T52" s="15" t="s">
        <v>117</v>
      </c>
      <c r="U52" s="31" t="str">
        <f t="shared" si="4"/>
        <v/>
      </c>
      <c r="V52" s="31" t="str">
        <f t="shared" si="5"/>
        <v/>
      </c>
      <c r="W52" s="31" t="str">
        <f t="shared" si="6"/>
        <v/>
      </c>
      <c r="X52" s="31"/>
      <c r="Y52" s="31"/>
      <c r="Z52" s="31"/>
      <c r="AC52" s="15" t="s">
        <v>117</v>
      </c>
      <c r="AD52" s="31" t="str">
        <f t="shared" si="7"/>
        <v/>
      </c>
      <c r="AE52" s="31" t="str">
        <f t="shared" si="8"/>
        <v/>
      </c>
      <c r="AF52" s="31" t="str">
        <f t="shared" si="9"/>
        <v/>
      </c>
      <c r="AG52" s="31"/>
      <c r="AH52" s="31"/>
      <c r="AI52" s="31"/>
    </row>
    <row r="58">
      <c r="B58" s="15" t="s">
        <v>169</v>
      </c>
      <c r="C58" s="15" t="s">
        <v>43</v>
      </c>
      <c r="D58" s="14" t="s">
        <v>44</v>
      </c>
      <c r="E58" s="14" t="s">
        <v>45</v>
      </c>
      <c r="F58" s="14" t="s">
        <v>46</v>
      </c>
      <c r="G58" s="14" t="s">
        <v>47</v>
      </c>
      <c r="H58" s="14" t="s">
        <v>49</v>
      </c>
      <c r="I58" s="14" t="s">
        <v>50</v>
      </c>
      <c r="K58" s="15" t="s">
        <v>169</v>
      </c>
      <c r="L58" s="15" t="s">
        <v>43</v>
      </c>
      <c r="M58" s="14" t="s">
        <v>44</v>
      </c>
      <c r="N58" s="14" t="s">
        <v>45</v>
      </c>
      <c r="O58" s="14" t="s">
        <v>46</v>
      </c>
      <c r="P58" s="14" t="s">
        <v>47</v>
      </c>
      <c r="Q58" s="14" t="s">
        <v>49</v>
      </c>
      <c r="R58" s="14" t="s">
        <v>50</v>
      </c>
      <c r="T58" s="15" t="s">
        <v>169</v>
      </c>
      <c r="U58" s="15" t="s">
        <v>43</v>
      </c>
      <c r="V58" s="14" t="s">
        <v>44</v>
      </c>
      <c r="W58" s="14" t="s">
        <v>45</v>
      </c>
      <c r="X58" s="14" t="s">
        <v>46</v>
      </c>
      <c r="Y58" s="14" t="s">
        <v>47</v>
      </c>
      <c r="Z58" s="14" t="s">
        <v>49</v>
      </c>
      <c r="AA58" s="14" t="s">
        <v>50</v>
      </c>
      <c r="AC58" s="15" t="s">
        <v>169</v>
      </c>
      <c r="AD58" s="15" t="s">
        <v>43</v>
      </c>
      <c r="AE58" s="14" t="s">
        <v>44</v>
      </c>
      <c r="AF58" s="14" t="s">
        <v>45</v>
      </c>
      <c r="AG58" s="14" t="s">
        <v>46</v>
      </c>
      <c r="AH58" s="14" t="s">
        <v>47</v>
      </c>
      <c r="AI58" s="14" t="s">
        <v>49</v>
      </c>
      <c r="AJ58" s="14" t="s">
        <v>50</v>
      </c>
    </row>
    <row r="59">
      <c r="B59" s="15" t="s">
        <v>124</v>
      </c>
      <c r="C59" s="31"/>
      <c r="D59" s="15">
        <v>3.0</v>
      </c>
      <c r="E59" s="15">
        <v>6.0</v>
      </c>
      <c r="F59" s="32" t="s">
        <v>60</v>
      </c>
      <c r="G59" s="31"/>
      <c r="H59" s="31"/>
      <c r="I59" s="31"/>
      <c r="K59" s="15" t="s">
        <v>124</v>
      </c>
      <c r="L59" s="31"/>
      <c r="M59" s="15">
        <v>3.0</v>
      </c>
      <c r="N59" s="49" t="s">
        <v>170</v>
      </c>
      <c r="O59" s="32" t="s">
        <v>64</v>
      </c>
      <c r="P59" s="15">
        <v>77.5</v>
      </c>
      <c r="Q59" s="15">
        <v>6.5</v>
      </c>
      <c r="R59" s="31"/>
      <c r="T59" s="15" t="s">
        <v>124</v>
      </c>
      <c r="U59" s="31"/>
      <c r="V59" s="15">
        <v>3.0</v>
      </c>
      <c r="W59" s="49" t="s">
        <v>170</v>
      </c>
      <c r="X59" s="32" t="s">
        <v>69</v>
      </c>
      <c r="Y59" s="33"/>
      <c r="Z59" s="33"/>
      <c r="AA59" s="31"/>
      <c r="AC59" s="15" t="s">
        <v>126</v>
      </c>
      <c r="AD59" s="31"/>
      <c r="AE59" s="15">
        <v>3.0</v>
      </c>
      <c r="AF59" s="15">
        <v>6.0</v>
      </c>
      <c r="AG59" s="15" t="s">
        <v>85</v>
      </c>
      <c r="AH59" s="15">
        <v>82.5</v>
      </c>
      <c r="AI59" s="15">
        <v>8.0</v>
      </c>
      <c r="AJ59" s="31"/>
    </row>
    <row r="60">
      <c r="B60" s="15" t="s">
        <v>173</v>
      </c>
      <c r="C60" s="31"/>
      <c r="D60" s="15">
        <v>3.0</v>
      </c>
      <c r="E60" s="15">
        <v>10.0</v>
      </c>
      <c r="F60" s="32" t="s">
        <v>64</v>
      </c>
      <c r="G60" s="15">
        <v>60.0</v>
      </c>
      <c r="H60" s="31"/>
      <c r="I60" s="31"/>
      <c r="K60" s="15" t="s">
        <v>174</v>
      </c>
      <c r="L60" s="31"/>
      <c r="M60" s="15">
        <v>3.0</v>
      </c>
      <c r="N60" s="49" t="s">
        <v>175</v>
      </c>
      <c r="O60" s="32" t="s">
        <v>69</v>
      </c>
      <c r="P60" s="15">
        <v>65.0</v>
      </c>
      <c r="Q60" s="15">
        <v>6.0</v>
      </c>
      <c r="R60" s="15" t="s">
        <v>176</v>
      </c>
      <c r="T60" s="15" t="s">
        <v>174</v>
      </c>
      <c r="U60" s="31"/>
      <c r="V60" s="15">
        <v>3.0</v>
      </c>
      <c r="W60" s="49" t="s">
        <v>175</v>
      </c>
      <c r="X60" s="32" t="s">
        <v>85</v>
      </c>
      <c r="Y60" s="33"/>
      <c r="Z60" s="33"/>
      <c r="AA60" s="31"/>
      <c r="AC60" s="15" t="s">
        <v>174</v>
      </c>
      <c r="AD60" s="31"/>
      <c r="AE60" s="15">
        <v>3.0</v>
      </c>
      <c r="AF60" s="15">
        <v>8.0</v>
      </c>
      <c r="AG60" s="15" t="s">
        <v>92</v>
      </c>
      <c r="AH60" s="15">
        <v>80.0</v>
      </c>
      <c r="AI60" s="15">
        <v>8.0</v>
      </c>
      <c r="AJ60" s="15" t="s">
        <v>177</v>
      </c>
    </row>
    <row r="61">
      <c r="B61" s="15" t="s">
        <v>178</v>
      </c>
      <c r="C61" s="31"/>
      <c r="D61" s="15">
        <v>3.0</v>
      </c>
      <c r="E61" s="36">
        <v>46366.0</v>
      </c>
      <c r="F61" s="32" t="s">
        <v>85</v>
      </c>
      <c r="G61" s="31"/>
      <c r="H61" s="31"/>
      <c r="I61" s="31"/>
      <c r="K61" s="15" t="s">
        <v>178</v>
      </c>
      <c r="L61" s="31"/>
      <c r="M61" s="15">
        <v>3.0</v>
      </c>
      <c r="N61" s="49" t="s">
        <v>179</v>
      </c>
      <c r="O61" s="32" t="s">
        <v>100</v>
      </c>
      <c r="P61" s="15">
        <v>4.5</v>
      </c>
      <c r="Q61" s="15">
        <v>8.0</v>
      </c>
      <c r="R61" s="31"/>
      <c r="T61" s="15" t="s">
        <v>178</v>
      </c>
      <c r="U61" s="31"/>
      <c r="V61" s="15">
        <v>3.0</v>
      </c>
      <c r="W61" s="49" t="s">
        <v>179</v>
      </c>
      <c r="X61" s="32" t="s">
        <v>134</v>
      </c>
      <c r="Y61" s="33"/>
      <c r="Z61" s="33"/>
      <c r="AA61" s="31"/>
      <c r="AC61" s="15" t="s">
        <v>178</v>
      </c>
      <c r="AD61" s="31"/>
      <c r="AE61" s="15">
        <v>3.0</v>
      </c>
      <c r="AF61" s="36">
        <v>46366.0</v>
      </c>
      <c r="AG61" s="15" t="s">
        <v>92</v>
      </c>
      <c r="AH61" s="15">
        <v>46.0</v>
      </c>
      <c r="AI61" s="31"/>
      <c r="AJ61" s="31"/>
    </row>
    <row r="62">
      <c r="B62" s="15" t="s">
        <v>180</v>
      </c>
      <c r="C62" s="31"/>
      <c r="D62" s="15">
        <v>3.0</v>
      </c>
      <c r="E62" s="50">
        <v>46366.0</v>
      </c>
      <c r="F62" s="32" t="s">
        <v>85</v>
      </c>
      <c r="G62" s="31"/>
      <c r="H62" s="31"/>
      <c r="I62" s="31"/>
      <c r="K62" s="15" t="s">
        <v>180</v>
      </c>
      <c r="L62" s="31"/>
      <c r="M62" s="15">
        <v>3.0</v>
      </c>
      <c r="N62" s="49" t="s">
        <v>179</v>
      </c>
      <c r="O62" s="32" t="s">
        <v>85</v>
      </c>
      <c r="P62" s="15">
        <v>13.5</v>
      </c>
      <c r="Q62" s="15">
        <v>8.0</v>
      </c>
      <c r="R62" s="31"/>
      <c r="T62" s="15" t="s">
        <v>180</v>
      </c>
      <c r="U62" s="31"/>
      <c r="V62" s="15">
        <v>3.0</v>
      </c>
      <c r="W62" s="49" t="s">
        <v>179</v>
      </c>
      <c r="X62" s="32" t="s">
        <v>134</v>
      </c>
      <c r="Y62" s="33"/>
      <c r="Z62" s="33"/>
      <c r="AA62" s="31"/>
      <c r="AC62" s="15" t="s">
        <v>181</v>
      </c>
      <c r="AD62" s="31"/>
      <c r="AE62" s="15">
        <v>3.0</v>
      </c>
      <c r="AF62" s="36">
        <v>46366.0</v>
      </c>
      <c r="AG62" s="15" t="s">
        <v>92</v>
      </c>
      <c r="AH62" s="15">
        <v>65.0</v>
      </c>
      <c r="AI62" s="31"/>
      <c r="AJ62" s="31"/>
    </row>
    <row r="63">
      <c r="B63" s="15" t="s">
        <v>182</v>
      </c>
      <c r="C63" s="31"/>
      <c r="D63" s="15">
        <v>3.0</v>
      </c>
      <c r="E63" s="36">
        <v>46240.0</v>
      </c>
      <c r="F63" s="15" t="s">
        <v>183</v>
      </c>
      <c r="G63" s="31"/>
      <c r="H63" s="31"/>
      <c r="I63" s="31"/>
      <c r="K63" s="15" t="s">
        <v>182</v>
      </c>
      <c r="L63" s="31"/>
      <c r="M63" s="15">
        <v>3.0</v>
      </c>
      <c r="N63" s="49" t="s">
        <v>184</v>
      </c>
      <c r="O63" s="15" t="s">
        <v>185</v>
      </c>
      <c r="P63" s="15">
        <v>0.0</v>
      </c>
      <c r="Q63" s="31"/>
      <c r="R63" s="31"/>
      <c r="T63" s="15" t="s">
        <v>182</v>
      </c>
      <c r="U63" s="31"/>
      <c r="V63" s="15">
        <v>3.0</v>
      </c>
      <c r="W63" s="49" t="s">
        <v>184</v>
      </c>
      <c r="X63" s="15" t="s">
        <v>185</v>
      </c>
      <c r="Y63" s="33"/>
      <c r="Z63" s="33"/>
      <c r="AA63" s="31"/>
      <c r="AC63" s="15" t="s">
        <v>182</v>
      </c>
      <c r="AD63" s="31"/>
      <c r="AE63" s="15">
        <v>3.0</v>
      </c>
      <c r="AF63" s="36">
        <v>46240.0</v>
      </c>
      <c r="AG63" s="15" t="s">
        <v>92</v>
      </c>
      <c r="AH63" s="15" t="s">
        <v>186</v>
      </c>
      <c r="AI63" s="31"/>
      <c r="AJ63" s="31"/>
    </row>
    <row r="64">
      <c r="B64" s="15" t="s">
        <v>187</v>
      </c>
      <c r="C64" s="15" t="s">
        <v>188</v>
      </c>
      <c r="D64" s="15">
        <v>3.0</v>
      </c>
      <c r="E64" s="15" t="s">
        <v>142</v>
      </c>
      <c r="F64" s="15" t="s">
        <v>69</v>
      </c>
      <c r="G64" s="31"/>
      <c r="H64" s="31"/>
      <c r="I64" s="31"/>
      <c r="K64" s="15" t="s">
        <v>187</v>
      </c>
      <c r="L64" s="31"/>
      <c r="M64" s="15">
        <v>3.0</v>
      </c>
      <c r="N64" s="49" t="s">
        <v>142</v>
      </c>
      <c r="O64" s="15" t="s">
        <v>69</v>
      </c>
      <c r="P64" s="15">
        <v>4.5</v>
      </c>
      <c r="Q64" s="15">
        <v>8.0</v>
      </c>
      <c r="R64" s="31"/>
      <c r="T64" s="15" t="s">
        <v>187</v>
      </c>
      <c r="U64" s="31"/>
      <c r="V64" s="15">
        <v>3.0</v>
      </c>
      <c r="W64" s="49" t="s">
        <v>142</v>
      </c>
      <c r="X64" s="15" t="s">
        <v>134</v>
      </c>
      <c r="Y64" s="33"/>
      <c r="Z64" s="33"/>
      <c r="AA64" s="31"/>
      <c r="AC64" s="15" t="s">
        <v>187</v>
      </c>
      <c r="AD64" s="31"/>
      <c r="AE64" s="15">
        <v>3.0</v>
      </c>
      <c r="AF64" s="15" t="s">
        <v>142</v>
      </c>
      <c r="AG64" s="15" t="s">
        <v>92</v>
      </c>
      <c r="AH64" s="15">
        <v>10.0</v>
      </c>
      <c r="AI64" s="31"/>
      <c r="AJ64" s="31"/>
    </row>
    <row r="65">
      <c r="B65" s="31"/>
      <c r="C65" s="31"/>
      <c r="D65" s="31"/>
      <c r="E65" s="31"/>
      <c r="F65" s="31"/>
      <c r="G65" s="31"/>
      <c r="H65" s="31"/>
      <c r="I65" s="31"/>
      <c r="K65" s="31"/>
      <c r="L65" s="31"/>
      <c r="M65" s="31"/>
      <c r="N65" s="31"/>
      <c r="O65" s="31"/>
      <c r="P65" s="31"/>
      <c r="Q65" s="31"/>
      <c r="R65" s="31"/>
      <c r="T65" s="31"/>
      <c r="U65" s="31"/>
      <c r="V65" s="31"/>
      <c r="W65" s="31"/>
      <c r="X65" s="31"/>
      <c r="Y65" s="31"/>
      <c r="Z65" s="31"/>
      <c r="AA65" s="31"/>
      <c r="AC65" s="31"/>
      <c r="AD65" s="31"/>
      <c r="AE65" s="31"/>
      <c r="AF65" s="31"/>
      <c r="AG65" s="31"/>
      <c r="AH65" s="31"/>
      <c r="AI65" s="31"/>
      <c r="AJ65" s="31"/>
    </row>
    <row r="66">
      <c r="B66" s="31"/>
      <c r="C66" s="31"/>
      <c r="D66" s="31"/>
      <c r="E66" s="31"/>
      <c r="F66" s="31"/>
      <c r="G66" s="31"/>
      <c r="H66" s="31"/>
      <c r="I66" s="31"/>
      <c r="K66" s="31"/>
      <c r="L66" s="31"/>
      <c r="M66" s="31"/>
      <c r="N66" s="31"/>
      <c r="O66" s="31"/>
      <c r="P66" s="31"/>
      <c r="Q66" s="31"/>
      <c r="R66" s="31"/>
      <c r="T66" s="31"/>
      <c r="U66" s="31"/>
      <c r="V66" s="31"/>
      <c r="W66" s="31"/>
      <c r="X66" s="31"/>
      <c r="Y66" s="31"/>
      <c r="Z66" s="31"/>
      <c r="AA66" s="31"/>
      <c r="AC66" s="31"/>
      <c r="AD66" s="31"/>
      <c r="AE66" s="31"/>
      <c r="AF66" s="31"/>
      <c r="AG66" s="31"/>
      <c r="AH66" s="31"/>
      <c r="AI66" s="31"/>
      <c r="AJ66" s="31"/>
    </row>
    <row r="67">
      <c r="B67" s="31"/>
      <c r="C67" s="31"/>
      <c r="D67" s="31"/>
      <c r="E67" s="31"/>
      <c r="F67" s="31"/>
      <c r="G67" s="31"/>
      <c r="H67" s="31"/>
      <c r="I67" s="31"/>
      <c r="K67" s="31"/>
      <c r="L67" s="31"/>
      <c r="M67" s="31"/>
      <c r="N67" s="31"/>
      <c r="O67" s="31"/>
      <c r="P67" s="31"/>
      <c r="Q67" s="31"/>
      <c r="R67" s="31"/>
      <c r="T67" s="31"/>
      <c r="U67" s="31"/>
      <c r="V67" s="31"/>
      <c r="W67" s="31"/>
      <c r="X67" s="31"/>
      <c r="Y67" s="31"/>
      <c r="Z67" s="31"/>
      <c r="AA67" s="31"/>
      <c r="AC67" s="31"/>
      <c r="AD67" s="31"/>
      <c r="AE67" s="31"/>
      <c r="AF67" s="31"/>
      <c r="AG67" s="31"/>
      <c r="AH67" s="31"/>
      <c r="AI67" s="31"/>
      <c r="AJ67" s="31"/>
    </row>
    <row r="68">
      <c r="G68" s="14" t="s">
        <v>108</v>
      </c>
      <c r="H68" s="14" t="s">
        <v>109</v>
      </c>
      <c r="I68" s="14" t="s">
        <v>110</v>
      </c>
      <c r="P68" s="14" t="s">
        <v>108</v>
      </c>
      <c r="Q68" s="14" t="s">
        <v>109</v>
      </c>
      <c r="R68" s="14" t="s">
        <v>110</v>
      </c>
      <c r="Y68" s="14" t="s">
        <v>108</v>
      </c>
      <c r="Z68" s="14" t="s">
        <v>109</v>
      </c>
      <c r="AA68" s="14" t="s">
        <v>110</v>
      </c>
      <c r="AH68" s="14" t="s">
        <v>108</v>
      </c>
      <c r="AI68" s="14" t="s">
        <v>109</v>
      </c>
      <c r="AJ68" s="14" t="s">
        <v>110</v>
      </c>
    </row>
    <row r="69">
      <c r="G69" s="15" t="s">
        <v>111</v>
      </c>
      <c r="H69" s="31"/>
      <c r="I69" s="31"/>
      <c r="P69" s="15" t="s">
        <v>111</v>
      </c>
      <c r="Q69" s="31"/>
      <c r="R69" s="31"/>
      <c r="Y69" s="15" t="s">
        <v>111</v>
      </c>
      <c r="Z69" s="31"/>
      <c r="AA69" s="31"/>
      <c r="AH69" s="15" t="s">
        <v>111</v>
      </c>
      <c r="AI69" s="31"/>
      <c r="AJ69" s="31"/>
    </row>
    <row r="72">
      <c r="B72" s="58" t="s">
        <v>189</v>
      </c>
      <c r="C72" s="60" t="s">
        <v>190</v>
      </c>
      <c r="D72" s="60" t="s">
        <v>191</v>
      </c>
      <c r="E72" s="60" t="s">
        <v>192</v>
      </c>
      <c r="F72" s="60" t="s">
        <v>194</v>
      </c>
      <c r="G72" s="60" t="s">
        <v>195</v>
      </c>
      <c r="K72" s="58" t="s">
        <v>189</v>
      </c>
      <c r="L72" s="60" t="s">
        <v>190</v>
      </c>
      <c r="M72" s="60" t="s">
        <v>191</v>
      </c>
      <c r="N72" s="60" t="s">
        <v>192</v>
      </c>
      <c r="O72" s="60" t="s">
        <v>194</v>
      </c>
      <c r="P72" s="60" t="s">
        <v>195</v>
      </c>
      <c r="T72" s="58" t="s">
        <v>189</v>
      </c>
      <c r="U72" s="60" t="s">
        <v>190</v>
      </c>
      <c r="V72" s="60" t="s">
        <v>191</v>
      </c>
      <c r="W72" s="60" t="s">
        <v>192</v>
      </c>
      <c r="X72" s="60" t="s">
        <v>194</v>
      </c>
      <c r="Y72" s="60" t="s">
        <v>195</v>
      </c>
      <c r="AC72" s="58" t="s">
        <v>189</v>
      </c>
      <c r="AD72" s="60" t="s">
        <v>190</v>
      </c>
      <c r="AE72" s="60" t="s">
        <v>191</v>
      </c>
      <c r="AF72" s="60" t="s">
        <v>192</v>
      </c>
      <c r="AG72" s="60" t="s">
        <v>194</v>
      </c>
      <c r="AH72" s="60" t="s">
        <v>195</v>
      </c>
    </row>
    <row r="73">
      <c r="C73" s="18" t="s">
        <v>207</v>
      </c>
      <c r="D73" s="18" t="s">
        <v>207</v>
      </c>
      <c r="E73" s="18" t="s">
        <v>208</v>
      </c>
      <c r="F73" s="18" t="s">
        <v>207</v>
      </c>
      <c r="G73" s="18">
        <v>3.0</v>
      </c>
      <c r="L73" s="18" t="s">
        <v>210</v>
      </c>
      <c r="M73" s="18" t="s">
        <v>210</v>
      </c>
      <c r="N73" s="18" t="s">
        <v>210</v>
      </c>
      <c r="O73" s="18" t="s">
        <v>207</v>
      </c>
      <c r="P73" s="18">
        <v>4.0</v>
      </c>
      <c r="U73" s="18" t="s">
        <v>207</v>
      </c>
      <c r="V73" s="18" t="s">
        <v>208</v>
      </c>
      <c r="W73" s="18" t="s">
        <v>214</v>
      </c>
      <c r="X73" s="18" t="s">
        <v>208</v>
      </c>
      <c r="Y73" s="18">
        <v>3.0</v>
      </c>
      <c r="AD73" s="24"/>
      <c r="AE73" s="24"/>
      <c r="AF73" s="24"/>
      <c r="AG73" s="24"/>
      <c r="AH73" s="24"/>
    </row>
    <row r="74">
      <c r="B74" s="60" t="s">
        <v>215</v>
      </c>
      <c r="C74" s="76"/>
      <c r="K74" s="60" t="s">
        <v>215</v>
      </c>
      <c r="L74" s="76"/>
      <c r="T74" s="60" t="s">
        <v>215</v>
      </c>
      <c r="U74" s="77" t="s">
        <v>216</v>
      </c>
      <c r="AC74" s="60" t="s">
        <v>215</v>
      </c>
      <c r="AD74" s="76"/>
    </row>
    <row r="78">
      <c r="K78" s="78"/>
    </row>
    <row r="81"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</row>
    <row r="83"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5">
      <c r="D85" s="23"/>
      <c r="E85" s="82" t="s">
        <v>229</v>
      </c>
      <c r="F85" s="23"/>
      <c r="G85" s="82" t="s">
        <v>230</v>
      </c>
      <c r="H85" s="82" t="s">
        <v>231</v>
      </c>
    </row>
    <row r="86">
      <c r="D86" s="84"/>
      <c r="E86" s="85"/>
      <c r="F86" s="23"/>
      <c r="G86" s="86"/>
      <c r="H86" s="87"/>
    </row>
    <row r="87">
      <c r="D87" s="84"/>
      <c r="E87" s="85"/>
      <c r="F87" s="23"/>
      <c r="G87" s="86"/>
      <c r="H87" s="87"/>
    </row>
    <row r="88">
      <c r="D88" s="84"/>
      <c r="E88" s="85"/>
      <c r="F88" s="23"/>
      <c r="G88" s="86"/>
      <c r="H88" s="87"/>
    </row>
    <row r="89">
      <c r="D89" s="84"/>
      <c r="E89" s="85"/>
      <c r="F89" s="23"/>
      <c r="G89" s="23"/>
      <c r="H89" s="23"/>
    </row>
  </sheetData>
  <mergeCells count="8">
    <mergeCell ref="B72:B73"/>
    <mergeCell ref="K72:K73"/>
    <mergeCell ref="T72:T73"/>
    <mergeCell ref="AC72:AC73"/>
    <mergeCell ref="C74:G74"/>
    <mergeCell ref="L74:P74"/>
    <mergeCell ref="U74:Y74"/>
    <mergeCell ref="AD74:AH74"/>
  </mergeCells>
  <conditionalFormatting sqref="K59:K64">
    <cfRule type="expression" dxfId="5" priority="1">
      <formula>COUNTIF($K$50:$K$52, K59)&gt;0</formula>
    </cfRule>
  </conditionalFormatting>
  <conditionalFormatting sqref="T59:T64">
    <cfRule type="expression" dxfId="5" priority="2">
      <formula>COUNTIF($T$50:$T$52, T59)&gt;0</formula>
    </cfRule>
  </conditionalFormatting>
  <dataValidations>
    <dataValidation type="list" allowBlank="1" showErrorMessage="1" sqref="K50:K52 T50:T52 AC50:AC52">
      <formula1>"Romanian deadlifts,Rear delt flies,chest flies,Pull ups,Lateral raise,/"</formula1>
    </dataValidation>
    <dataValidation type="list" allowBlank="1" showErrorMessage="1" sqref="C8 L8 U8 AD8 C22 L22 U22 AD22 C36 L36 U36 AD36 C58 L58 U58 AD58">
      <formula1>"Maandag,Dinsdag,Woensdag,Donderdag,Vrijdag,Zaterdag,Zondag"</formula1>
    </dataValidation>
    <dataValidation type="list" allowBlank="1" showErrorMessage="1" sqref="G73 P73 Y73 AH73">
      <formula1>"1,2,3,4"</formula1>
    </dataValidation>
    <dataValidation type="list" allowBlank="1" showErrorMessage="1" sqref="B8 K8 T8 AC8 B22 K22 T22 AC22 B36 K36 T36 AC36 B58 K58 T58 AC58">
      <formula1>"SESSIE 1,SESSIE 2,SESSIE 3,SESSIE 4"</formula1>
    </dataValidation>
    <dataValidation type="list" allowBlank="1" showErrorMessage="1" sqref="G19 P19 Y19 AH19 G33 P33 Y33 AH33 G47 P47 Y47 AH47 G69 P69 Y69 AH69">
      <formula1>"JA,NEE,/"</formula1>
    </dataValidation>
    <dataValidation type="list" allowBlank="1" showErrorMessage="1" sqref="H19 Q19 Z19 AI19 H33 Q33 Z33 AI33 H47 Q47 Z47 AI47 H69 Q69 Z69 AI69">
      <formula1>"Stairmaster,Airbike,Loopband (Wandelen),Loopband (Lopen),Roeimachine,Crosstrainer"</formula1>
    </dataValidation>
    <dataValidation type="list" allowBlank="1" showErrorMessage="1" sqref="C73:F73 L73:O73 U73:X73 AD73:AG73">
      <formula1>"AMAZING,GOOD,NEUTRAAL,BAD,HOLY ASS"</formula1>
    </dataValidation>
  </dataValidations>
  <drawing r:id="rId1"/>
  <tableParts count="51"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6" max="6" width="25.88"/>
    <col customWidth="1" min="7" max="7" width="21.5"/>
    <col customWidth="1" min="8" max="8" width="22.0"/>
    <col customWidth="1" min="9" max="9" width="18.88"/>
    <col customWidth="1" min="10" max="10" width="26.5"/>
    <col customWidth="1" min="11" max="11" width="19.75"/>
    <col customWidth="1" min="12" max="12" width="17.38"/>
    <col customWidth="1" min="14" max="14" width="22.5"/>
  </cols>
  <sheetData>
    <row r="1">
      <c r="A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>
      <c r="A2" s="47"/>
      <c r="B2" s="57"/>
      <c r="C2" s="59">
        <v>1.0</v>
      </c>
      <c r="D2" s="59">
        <v>2.0</v>
      </c>
      <c r="E2" s="59">
        <v>3.0</v>
      </c>
      <c r="F2" s="59">
        <v>4.0</v>
      </c>
      <c r="G2" s="59">
        <v>5.0</v>
      </c>
      <c r="H2" s="59">
        <v>6.0</v>
      </c>
      <c r="I2" s="59">
        <v>7.0</v>
      </c>
      <c r="J2" s="59">
        <v>8.0</v>
      </c>
      <c r="K2" s="59">
        <v>9.0</v>
      </c>
      <c r="L2" s="59">
        <v>10.0</v>
      </c>
      <c r="M2" s="59">
        <v>11.0</v>
      </c>
      <c r="N2" s="59">
        <v>12.0</v>
      </c>
      <c r="O2" s="47"/>
    </row>
    <row r="3">
      <c r="A3" s="47"/>
      <c r="B3" s="61" t="s">
        <v>193</v>
      </c>
      <c r="C3" s="62">
        <v>100.0</v>
      </c>
      <c r="D3" s="62">
        <v>96.0</v>
      </c>
      <c r="E3" s="62">
        <v>92.0</v>
      </c>
      <c r="F3" s="62">
        <v>89.0</v>
      </c>
      <c r="G3" s="62">
        <v>86.0</v>
      </c>
      <c r="H3" s="62">
        <v>84.0</v>
      </c>
      <c r="I3" s="62">
        <v>79.0</v>
      </c>
      <c r="J3" s="62">
        <v>77.0</v>
      </c>
      <c r="K3" s="62">
        <v>74.0</v>
      </c>
      <c r="L3" s="62">
        <v>72.0</v>
      </c>
      <c r="M3" s="62">
        <v>69.0</v>
      </c>
      <c r="N3" s="62">
        <v>66.0</v>
      </c>
      <c r="O3" s="47"/>
    </row>
    <row r="4">
      <c r="A4" s="47"/>
      <c r="B4" s="63" t="s">
        <v>196</v>
      </c>
      <c r="C4" s="64">
        <v>98.0</v>
      </c>
      <c r="D4" s="64">
        <v>94.0</v>
      </c>
      <c r="E4" s="64">
        <v>91.0</v>
      </c>
      <c r="F4" s="64">
        <v>88.0</v>
      </c>
      <c r="G4" s="64">
        <v>85.0</v>
      </c>
      <c r="H4" s="64">
        <v>82.0</v>
      </c>
      <c r="I4" s="64">
        <v>78.0</v>
      </c>
      <c r="J4" s="64">
        <v>75.0</v>
      </c>
      <c r="K4" s="64">
        <v>73.0</v>
      </c>
      <c r="L4" s="64">
        <v>70.0</v>
      </c>
      <c r="M4" s="64">
        <v>67.0</v>
      </c>
      <c r="N4" s="64">
        <v>65.0</v>
      </c>
      <c r="O4" s="47"/>
    </row>
    <row r="5">
      <c r="A5" s="47"/>
      <c r="B5" s="61" t="s">
        <v>197</v>
      </c>
      <c r="C5" s="62">
        <v>96.0</v>
      </c>
      <c r="D5" s="62">
        <v>92.0</v>
      </c>
      <c r="E5" s="62">
        <v>89.0</v>
      </c>
      <c r="F5" s="62">
        <v>86.0</v>
      </c>
      <c r="G5" s="62">
        <v>84.0</v>
      </c>
      <c r="H5" s="62">
        <v>81.0</v>
      </c>
      <c r="I5" s="62">
        <v>77.0</v>
      </c>
      <c r="J5" s="62">
        <v>74.0</v>
      </c>
      <c r="K5" s="62">
        <v>72.0</v>
      </c>
      <c r="L5" s="62">
        <v>69.0</v>
      </c>
      <c r="M5" s="62">
        <v>66.0</v>
      </c>
      <c r="N5" s="62">
        <v>63.0</v>
      </c>
      <c r="O5" s="47"/>
    </row>
    <row r="6">
      <c r="A6" s="47"/>
      <c r="B6" s="63" t="s">
        <v>198</v>
      </c>
      <c r="C6" s="64">
        <v>94.0</v>
      </c>
      <c r="D6" s="64">
        <v>91.0</v>
      </c>
      <c r="E6" s="64">
        <v>88.0</v>
      </c>
      <c r="F6" s="64">
        <v>85.0</v>
      </c>
      <c r="G6" s="64">
        <v>82.0</v>
      </c>
      <c r="H6" s="64">
        <v>80.0</v>
      </c>
      <c r="I6" s="64">
        <v>75.0</v>
      </c>
      <c r="J6" s="64">
        <v>73.0</v>
      </c>
      <c r="K6" s="64">
        <v>70.0</v>
      </c>
      <c r="L6" s="64">
        <v>67.0</v>
      </c>
      <c r="M6" s="64">
        <v>65.0</v>
      </c>
      <c r="N6" s="64">
        <v>62.0</v>
      </c>
      <c r="O6" s="47"/>
    </row>
    <row r="7">
      <c r="A7" s="47"/>
      <c r="B7" s="61" t="s">
        <v>199</v>
      </c>
      <c r="C7" s="62">
        <v>92.0</v>
      </c>
      <c r="D7" s="62">
        <v>89.0</v>
      </c>
      <c r="E7" s="62">
        <v>86.0</v>
      </c>
      <c r="F7" s="62">
        <v>84.0</v>
      </c>
      <c r="G7" s="62">
        <v>81.0</v>
      </c>
      <c r="H7" s="62">
        <v>79.0</v>
      </c>
      <c r="I7" s="62">
        <v>74.0</v>
      </c>
      <c r="J7" s="62">
        <v>72.0</v>
      </c>
      <c r="K7" s="62">
        <v>69.0</v>
      </c>
      <c r="L7" s="62">
        <v>66.0</v>
      </c>
      <c r="M7" s="62">
        <v>63.0</v>
      </c>
      <c r="N7" s="62">
        <v>61.0</v>
      </c>
      <c r="O7" s="47"/>
    </row>
    <row r="8">
      <c r="A8" s="47"/>
      <c r="B8" s="63" t="s">
        <v>200</v>
      </c>
      <c r="C8" s="64">
        <v>91.0</v>
      </c>
      <c r="D8" s="64">
        <v>88.0</v>
      </c>
      <c r="E8" s="64">
        <v>85.0</v>
      </c>
      <c r="F8" s="64">
        <v>82.0</v>
      </c>
      <c r="G8" s="64">
        <v>80.0</v>
      </c>
      <c r="H8" s="64">
        <v>77.0</v>
      </c>
      <c r="I8" s="64">
        <v>73.0</v>
      </c>
      <c r="J8" s="64">
        <v>70.0</v>
      </c>
      <c r="K8" s="64">
        <v>67.0</v>
      </c>
      <c r="L8" s="64">
        <v>65.0</v>
      </c>
      <c r="M8" s="64">
        <v>62.0</v>
      </c>
      <c r="N8" s="64">
        <v>59.0</v>
      </c>
      <c r="O8" s="47"/>
    </row>
    <row r="9">
      <c r="A9" s="47"/>
      <c r="B9" s="61" t="s">
        <v>201</v>
      </c>
      <c r="C9" s="62">
        <v>89.0</v>
      </c>
      <c r="D9" s="62">
        <v>86.0</v>
      </c>
      <c r="E9" s="62">
        <v>84.0</v>
      </c>
      <c r="F9" s="62">
        <v>81.0</v>
      </c>
      <c r="G9" s="62">
        <v>79.0</v>
      </c>
      <c r="H9" s="62">
        <v>76.0</v>
      </c>
      <c r="I9" s="62">
        <v>72.0</v>
      </c>
      <c r="J9" s="62">
        <v>69.0</v>
      </c>
      <c r="K9" s="62">
        <v>66.0</v>
      </c>
      <c r="L9" s="62">
        <v>63.0</v>
      </c>
      <c r="M9" s="62">
        <v>61.0</v>
      </c>
      <c r="N9" s="62">
        <v>58.0</v>
      </c>
      <c r="O9" s="47"/>
    </row>
    <row r="10">
      <c r="A10" s="47"/>
      <c r="B10" s="63" t="s">
        <v>202</v>
      </c>
      <c r="C10" s="64">
        <v>88.0</v>
      </c>
      <c r="D10" s="64">
        <v>85.0</v>
      </c>
      <c r="E10" s="64">
        <v>82.0</v>
      </c>
      <c r="F10" s="64">
        <v>80.0</v>
      </c>
      <c r="G10" s="64">
        <v>77.0</v>
      </c>
      <c r="H10" s="64">
        <v>75.0</v>
      </c>
      <c r="I10" s="64">
        <v>70.0</v>
      </c>
      <c r="J10" s="64">
        <v>67.0</v>
      </c>
      <c r="K10" s="64">
        <v>65.0</v>
      </c>
      <c r="L10" s="64">
        <v>62.0</v>
      </c>
      <c r="M10" s="64">
        <v>59.0</v>
      </c>
      <c r="N10" s="64">
        <v>57.0</v>
      </c>
      <c r="O10" s="47"/>
    </row>
    <row r="11">
      <c r="A11" s="47"/>
      <c r="B11" s="61" t="s">
        <v>203</v>
      </c>
      <c r="C11" s="62">
        <v>86.0</v>
      </c>
      <c r="D11" s="62">
        <v>84.0</v>
      </c>
      <c r="E11" s="62">
        <v>81.0</v>
      </c>
      <c r="F11" s="62">
        <v>79.0</v>
      </c>
      <c r="G11" s="62">
        <v>76.0</v>
      </c>
      <c r="H11" s="62">
        <v>74.0</v>
      </c>
      <c r="I11" s="62">
        <v>69.0</v>
      </c>
      <c r="J11" s="62">
        <v>66.0</v>
      </c>
      <c r="K11" s="62">
        <v>63.0</v>
      </c>
      <c r="L11" s="62">
        <v>61.0</v>
      </c>
      <c r="M11" s="62">
        <v>58.0</v>
      </c>
      <c r="N11" s="62">
        <v>55.0</v>
      </c>
      <c r="O11" s="47"/>
    </row>
    <row r="12">
      <c r="A12" s="47"/>
      <c r="B12" s="63" t="s">
        <v>204</v>
      </c>
      <c r="C12" s="64">
        <v>85.0</v>
      </c>
      <c r="D12" s="64">
        <v>82.0</v>
      </c>
      <c r="E12" s="64">
        <v>80.0</v>
      </c>
      <c r="F12" s="64">
        <v>77.0</v>
      </c>
      <c r="G12" s="64">
        <v>75.0</v>
      </c>
      <c r="H12" s="64">
        <v>72.0</v>
      </c>
      <c r="I12" s="64">
        <v>67.0</v>
      </c>
      <c r="J12" s="64">
        <v>65.0</v>
      </c>
      <c r="K12" s="64">
        <v>62.0</v>
      </c>
      <c r="L12" s="64">
        <v>59.0</v>
      </c>
      <c r="M12" s="64">
        <v>57.0</v>
      </c>
      <c r="N12" s="64">
        <v>54.0</v>
      </c>
      <c r="O12" s="47"/>
    </row>
    <row r="13">
      <c r="A13" s="47"/>
      <c r="B13" s="61" t="s">
        <v>128</v>
      </c>
      <c r="C13" s="62">
        <v>84.0</v>
      </c>
      <c r="D13" s="62">
        <v>81.0</v>
      </c>
      <c r="E13" s="62">
        <v>79.0</v>
      </c>
      <c r="F13" s="62">
        <v>76.0</v>
      </c>
      <c r="G13" s="62">
        <v>74.0</v>
      </c>
      <c r="H13" s="62">
        <v>71.0</v>
      </c>
      <c r="I13" s="62">
        <v>66.0</v>
      </c>
      <c r="J13" s="62">
        <v>63.0</v>
      </c>
      <c r="K13" s="62">
        <v>61.0</v>
      </c>
      <c r="L13" s="62">
        <v>58.0</v>
      </c>
      <c r="M13" s="62">
        <v>55.0</v>
      </c>
      <c r="N13" s="62">
        <v>53.0</v>
      </c>
      <c r="O13" s="47"/>
    </row>
    <row r="14">
      <c r="A14" s="47"/>
      <c r="B14" s="65" t="s">
        <v>205</v>
      </c>
      <c r="O14" s="47"/>
    </row>
    <row r="15">
      <c r="A15" s="47"/>
      <c r="B15" s="66" t="s">
        <v>206</v>
      </c>
      <c r="C15" s="66" t="s">
        <v>45</v>
      </c>
      <c r="D15" s="66" t="s">
        <v>209</v>
      </c>
      <c r="E15" s="67" t="s">
        <v>193</v>
      </c>
      <c r="F15" s="68" t="s">
        <v>196</v>
      </c>
      <c r="G15" s="69" t="s">
        <v>197</v>
      </c>
      <c r="H15" s="70" t="s">
        <v>198</v>
      </c>
      <c r="I15" s="66" t="s">
        <v>199</v>
      </c>
      <c r="J15" s="71" t="s">
        <v>200</v>
      </c>
      <c r="K15" s="72" t="s">
        <v>201</v>
      </c>
      <c r="L15" s="73" t="s">
        <v>211</v>
      </c>
      <c r="M15" s="74" t="s">
        <v>212</v>
      </c>
      <c r="N15" s="75" t="s">
        <v>213</v>
      </c>
      <c r="O15" s="47"/>
    </row>
    <row r="16">
      <c r="A16" s="47"/>
      <c r="B16" s="79">
        <f>Info!B28</f>
        <v>105</v>
      </c>
      <c r="C16" s="79">
        <v>4.0</v>
      </c>
      <c r="D16" s="79" t="s">
        <v>201</v>
      </c>
      <c r="E16" s="67" t="s">
        <v>217</v>
      </c>
      <c r="F16" s="68" t="s">
        <v>218</v>
      </c>
      <c r="G16" s="69" t="s">
        <v>219</v>
      </c>
      <c r="H16" s="70" t="s">
        <v>220</v>
      </c>
      <c r="I16" s="66" t="s">
        <v>221</v>
      </c>
      <c r="J16" s="71" t="s">
        <v>222</v>
      </c>
      <c r="K16" s="72" t="s">
        <v>223</v>
      </c>
      <c r="L16" s="73" t="s">
        <v>224</v>
      </c>
      <c r="M16" s="74" t="s">
        <v>225</v>
      </c>
      <c r="N16" s="75" t="s">
        <v>226</v>
      </c>
      <c r="O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>
      <c r="A18" s="47"/>
      <c r="B18" s="80" t="s">
        <v>227</v>
      </c>
      <c r="C18" s="81" t="s">
        <v>228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>
      <c r="A19" s="83" t="s">
        <v>232</v>
      </c>
      <c r="B19" s="88">
        <f t="array" ref="B19">(INDEX(C3:N13,MATCH(D16,B3:B13,0),MATCH(C16,C2:N2,0)))/100*B16</f>
        <v>85.05</v>
      </c>
      <c r="C19" s="89">
        <f>ROUND(B19/2.5,0)*2.5</f>
        <v>85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</row>
    <row r="20">
      <c r="A20" s="47"/>
      <c r="B20" s="47"/>
      <c r="C20" s="47"/>
      <c r="D20" s="47" t="s">
        <v>233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2">
      <c r="B22" s="57"/>
      <c r="C22" s="59">
        <v>1.0</v>
      </c>
      <c r="D22" s="59">
        <v>2.0</v>
      </c>
      <c r="E22" s="59">
        <v>3.0</v>
      </c>
      <c r="F22" s="59">
        <v>4.0</v>
      </c>
      <c r="G22" s="59">
        <v>5.0</v>
      </c>
      <c r="H22" s="59">
        <v>6.0</v>
      </c>
      <c r="I22" s="59">
        <v>7.0</v>
      </c>
      <c r="J22" s="59">
        <v>8.0</v>
      </c>
      <c r="K22" s="59">
        <v>9.0</v>
      </c>
      <c r="L22" s="59">
        <v>10.0</v>
      </c>
      <c r="M22" s="59">
        <v>11.0</v>
      </c>
      <c r="N22" s="59">
        <v>12.0</v>
      </c>
    </row>
    <row r="23">
      <c r="B23" s="61" t="s">
        <v>193</v>
      </c>
      <c r="C23" s="62">
        <v>100.0</v>
      </c>
      <c r="D23" s="62">
        <v>96.0</v>
      </c>
      <c r="E23" s="62">
        <v>92.0</v>
      </c>
      <c r="F23" s="62">
        <v>89.0</v>
      </c>
      <c r="G23" s="62">
        <v>86.0</v>
      </c>
      <c r="H23" s="62">
        <v>84.0</v>
      </c>
      <c r="I23" s="62">
        <v>79.0</v>
      </c>
      <c r="J23" s="62">
        <v>77.0</v>
      </c>
      <c r="K23" s="62">
        <v>74.0</v>
      </c>
      <c r="L23" s="62">
        <v>72.0</v>
      </c>
      <c r="M23" s="62">
        <v>69.0</v>
      </c>
      <c r="N23" s="62">
        <v>66.0</v>
      </c>
    </row>
    <row r="24">
      <c r="B24" s="63" t="s">
        <v>196</v>
      </c>
      <c r="C24" s="64">
        <v>98.0</v>
      </c>
      <c r="D24" s="64">
        <v>94.0</v>
      </c>
      <c r="E24" s="64">
        <v>91.0</v>
      </c>
      <c r="F24" s="64">
        <v>88.0</v>
      </c>
      <c r="G24" s="64">
        <v>85.0</v>
      </c>
      <c r="H24" s="64">
        <v>82.0</v>
      </c>
      <c r="I24" s="64">
        <v>78.0</v>
      </c>
      <c r="J24" s="64">
        <v>75.0</v>
      </c>
      <c r="K24" s="64">
        <v>73.0</v>
      </c>
      <c r="L24" s="64">
        <v>70.0</v>
      </c>
      <c r="M24" s="64">
        <v>67.0</v>
      </c>
      <c r="N24" s="64">
        <v>65.0</v>
      </c>
    </row>
    <row r="25">
      <c r="B25" s="61" t="s">
        <v>197</v>
      </c>
      <c r="C25" s="62">
        <v>96.0</v>
      </c>
      <c r="D25" s="62">
        <v>92.0</v>
      </c>
      <c r="E25" s="62">
        <v>89.0</v>
      </c>
      <c r="F25" s="62">
        <v>86.0</v>
      </c>
      <c r="G25" s="62">
        <v>84.0</v>
      </c>
      <c r="H25" s="62">
        <v>81.0</v>
      </c>
      <c r="I25" s="62">
        <v>77.0</v>
      </c>
      <c r="J25" s="62">
        <v>74.0</v>
      </c>
      <c r="K25" s="62">
        <v>72.0</v>
      </c>
      <c r="L25" s="62">
        <v>69.0</v>
      </c>
      <c r="M25" s="62">
        <v>66.0</v>
      </c>
      <c r="N25" s="62">
        <v>63.0</v>
      </c>
    </row>
    <row r="26">
      <c r="B26" s="63" t="s">
        <v>198</v>
      </c>
      <c r="C26" s="64">
        <v>94.0</v>
      </c>
      <c r="D26" s="64">
        <v>91.0</v>
      </c>
      <c r="E26" s="64">
        <v>88.0</v>
      </c>
      <c r="F26" s="64">
        <v>85.0</v>
      </c>
      <c r="G26" s="64">
        <v>82.0</v>
      </c>
      <c r="H26" s="64">
        <v>80.0</v>
      </c>
      <c r="I26" s="64">
        <v>75.0</v>
      </c>
      <c r="J26" s="64">
        <v>73.0</v>
      </c>
      <c r="K26" s="64">
        <v>70.0</v>
      </c>
      <c r="L26" s="64">
        <v>67.0</v>
      </c>
      <c r="M26" s="64">
        <v>65.0</v>
      </c>
      <c r="N26" s="64">
        <v>62.0</v>
      </c>
    </row>
    <row r="27">
      <c r="B27" s="61" t="s">
        <v>199</v>
      </c>
      <c r="C27" s="62">
        <v>92.0</v>
      </c>
      <c r="D27" s="62">
        <v>89.0</v>
      </c>
      <c r="E27" s="62">
        <v>86.0</v>
      </c>
      <c r="F27" s="62">
        <v>84.0</v>
      </c>
      <c r="G27" s="62">
        <v>81.0</v>
      </c>
      <c r="H27" s="62">
        <v>79.0</v>
      </c>
      <c r="I27" s="62">
        <v>74.0</v>
      </c>
      <c r="J27" s="62">
        <v>72.0</v>
      </c>
      <c r="K27" s="62">
        <v>69.0</v>
      </c>
      <c r="L27" s="62">
        <v>66.0</v>
      </c>
      <c r="M27" s="62">
        <v>63.0</v>
      </c>
      <c r="N27" s="62">
        <v>61.0</v>
      </c>
    </row>
    <row r="28">
      <c r="B28" s="63" t="s">
        <v>200</v>
      </c>
      <c r="C28" s="64">
        <v>91.0</v>
      </c>
      <c r="D28" s="64">
        <v>88.0</v>
      </c>
      <c r="E28" s="64">
        <v>85.0</v>
      </c>
      <c r="F28" s="64">
        <v>82.0</v>
      </c>
      <c r="G28" s="64">
        <v>80.0</v>
      </c>
      <c r="H28" s="64">
        <v>77.0</v>
      </c>
      <c r="I28" s="64">
        <v>73.0</v>
      </c>
      <c r="J28" s="64">
        <v>70.0</v>
      </c>
      <c r="K28" s="64">
        <v>67.0</v>
      </c>
      <c r="L28" s="64">
        <v>65.0</v>
      </c>
      <c r="M28" s="64">
        <v>62.0</v>
      </c>
      <c r="N28" s="64">
        <v>59.0</v>
      </c>
    </row>
    <row r="29">
      <c r="B29" s="61" t="s">
        <v>201</v>
      </c>
      <c r="C29" s="62">
        <v>89.0</v>
      </c>
      <c r="D29" s="62">
        <v>86.0</v>
      </c>
      <c r="E29" s="62">
        <v>84.0</v>
      </c>
      <c r="F29" s="62">
        <v>81.0</v>
      </c>
      <c r="G29" s="62">
        <v>79.0</v>
      </c>
      <c r="H29" s="62">
        <v>76.0</v>
      </c>
      <c r="I29" s="62">
        <v>72.0</v>
      </c>
      <c r="J29" s="62">
        <v>69.0</v>
      </c>
      <c r="K29" s="62">
        <v>66.0</v>
      </c>
      <c r="L29" s="62">
        <v>63.0</v>
      </c>
      <c r="M29" s="62">
        <v>61.0</v>
      </c>
      <c r="N29" s="62">
        <v>58.0</v>
      </c>
    </row>
    <row r="30">
      <c r="B30" s="63" t="s">
        <v>202</v>
      </c>
      <c r="C30" s="64">
        <v>88.0</v>
      </c>
      <c r="D30" s="64">
        <v>85.0</v>
      </c>
      <c r="E30" s="64">
        <v>82.0</v>
      </c>
      <c r="F30" s="64">
        <v>80.0</v>
      </c>
      <c r="G30" s="64">
        <v>77.0</v>
      </c>
      <c r="H30" s="64">
        <v>75.0</v>
      </c>
      <c r="I30" s="64">
        <v>70.0</v>
      </c>
      <c r="J30" s="64">
        <v>67.0</v>
      </c>
      <c r="K30" s="64">
        <v>65.0</v>
      </c>
      <c r="L30" s="64">
        <v>62.0</v>
      </c>
      <c r="M30" s="64">
        <v>59.0</v>
      </c>
      <c r="N30" s="64">
        <v>57.0</v>
      </c>
    </row>
    <row r="31">
      <c r="B31" s="61" t="s">
        <v>203</v>
      </c>
      <c r="C31" s="62">
        <v>86.0</v>
      </c>
      <c r="D31" s="62">
        <v>84.0</v>
      </c>
      <c r="E31" s="62">
        <v>81.0</v>
      </c>
      <c r="F31" s="62">
        <v>79.0</v>
      </c>
      <c r="G31" s="62">
        <v>76.0</v>
      </c>
      <c r="H31" s="62">
        <v>74.0</v>
      </c>
      <c r="I31" s="62">
        <v>69.0</v>
      </c>
      <c r="J31" s="62">
        <v>66.0</v>
      </c>
      <c r="K31" s="62">
        <v>63.0</v>
      </c>
      <c r="L31" s="62">
        <v>61.0</v>
      </c>
      <c r="M31" s="62">
        <v>58.0</v>
      </c>
      <c r="N31" s="62">
        <v>55.0</v>
      </c>
    </row>
    <row r="32">
      <c r="B32" s="63" t="s">
        <v>204</v>
      </c>
      <c r="C32" s="64">
        <v>85.0</v>
      </c>
      <c r="D32" s="64">
        <v>82.0</v>
      </c>
      <c r="E32" s="64">
        <v>80.0</v>
      </c>
      <c r="F32" s="64">
        <v>77.0</v>
      </c>
      <c r="G32" s="64">
        <v>75.0</v>
      </c>
      <c r="H32" s="64">
        <v>72.0</v>
      </c>
      <c r="I32" s="64">
        <v>67.0</v>
      </c>
      <c r="J32" s="64">
        <v>65.0</v>
      </c>
      <c r="K32" s="64">
        <v>62.0</v>
      </c>
      <c r="L32" s="64">
        <v>59.0</v>
      </c>
      <c r="M32" s="64">
        <v>57.0</v>
      </c>
      <c r="N32" s="64">
        <v>54.0</v>
      </c>
    </row>
    <row r="33">
      <c r="B33" s="61" t="s">
        <v>128</v>
      </c>
      <c r="C33" s="62">
        <v>84.0</v>
      </c>
      <c r="D33" s="62">
        <v>81.0</v>
      </c>
      <c r="E33" s="62">
        <v>79.0</v>
      </c>
      <c r="F33" s="62">
        <v>76.0</v>
      </c>
      <c r="G33" s="62">
        <v>74.0</v>
      </c>
      <c r="H33" s="62">
        <v>71.0</v>
      </c>
      <c r="I33" s="62">
        <v>66.0</v>
      </c>
      <c r="J33" s="62">
        <v>63.0</v>
      </c>
      <c r="K33" s="62">
        <v>61.0</v>
      </c>
      <c r="L33" s="62">
        <v>58.0</v>
      </c>
      <c r="M33" s="62">
        <v>55.0</v>
      </c>
      <c r="N33" s="62">
        <v>53.0</v>
      </c>
    </row>
    <row r="34">
      <c r="B34" s="65" t="s">
        <v>205</v>
      </c>
    </row>
    <row r="35">
      <c r="B35" s="66" t="s">
        <v>206</v>
      </c>
      <c r="C35" s="66" t="s">
        <v>45</v>
      </c>
      <c r="D35" s="66" t="s">
        <v>209</v>
      </c>
      <c r="E35" s="67" t="s">
        <v>193</v>
      </c>
      <c r="F35" s="68" t="s">
        <v>196</v>
      </c>
      <c r="G35" s="69" t="s">
        <v>197</v>
      </c>
      <c r="H35" s="70" t="s">
        <v>198</v>
      </c>
      <c r="I35" s="66" t="s">
        <v>199</v>
      </c>
      <c r="J35" s="71" t="s">
        <v>200</v>
      </c>
      <c r="K35" s="72" t="s">
        <v>201</v>
      </c>
      <c r="L35" s="73" t="s">
        <v>211</v>
      </c>
      <c r="M35" s="74" t="s">
        <v>212</v>
      </c>
      <c r="N35" s="75" t="s">
        <v>213</v>
      </c>
    </row>
    <row r="36">
      <c r="B36" s="79">
        <f>Info!B29</f>
        <v>160</v>
      </c>
      <c r="C36" s="79">
        <v>6.0</v>
      </c>
      <c r="D36" s="79" t="s">
        <v>203</v>
      </c>
      <c r="E36" s="67" t="s">
        <v>217</v>
      </c>
      <c r="F36" s="68" t="s">
        <v>218</v>
      </c>
      <c r="G36" s="69" t="s">
        <v>219</v>
      </c>
      <c r="H36" s="70" t="s">
        <v>220</v>
      </c>
      <c r="I36" s="66" t="s">
        <v>221</v>
      </c>
      <c r="J36" s="71" t="s">
        <v>222</v>
      </c>
      <c r="K36" s="72" t="s">
        <v>223</v>
      </c>
      <c r="L36" s="73" t="s">
        <v>224</v>
      </c>
      <c r="M36" s="74" t="s">
        <v>225</v>
      </c>
      <c r="N36" s="75" t="s">
        <v>226</v>
      </c>
    </row>
    <row r="37"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>
      <c r="B38" s="80" t="s">
        <v>227</v>
      </c>
      <c r="C38" s="81" t="s">
        <v>228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>
      <c r="A39" s="90" t="s">
        <v>234</v>
      </c>
      <c r="B39" s="88">
        <f t="array" ref="B39">(INDEX(C23:N33,MATCH(D36,B23:B33,0),MATCH(C36,C22:N22,0)))/100*B36</f>
        <v>118.4</v>
      </c>
      <c r="C39" s="89">
        <f>ROUND(B39/2.5,0)*2.5</f>
        <v>117.5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2">
      <c r="B42" s="57"/>
      <c r="C42" s="59">
        <v>1.0</v>
      </c>
      <c r="D42" s="59">
        <v>2.0</v>
      </c>
      <c r="E42" s="59">
        <v>3.0</v>
      </c>
      <c r="F42" s="59">
        <v>4.0</v>
      </c>
      <c r="G42" s="59">
        <v>5.0</v>
      </c>
      <c r="H42" s="59">
        <v>6.0</v>
      </c>
      <c r="I42" s="59">
        <v>7.0</v>
      </c>
      <c r="J42" s="59">
        <v>8.0</v>
      </c>
      <c r="K42" s="59">
        <v>9.0</v>
      </c>
      <c r="L42" s="59">
        <v>10.0</v>
      </c>
      <c r="M42" s="59">
        <v>11.0</v>
      </c>
      <c r="N42" s="59">
        <v>12.0</v>
      </c>
    </row>
    <row r="43">
      <c r="B43" s="61" t="s">
        <v>193</v>
      </c>
      <c r="C43" s="62">
        <v>100.0</v>
      </c>
      <c r="D43" s="62">
        <v>96.0</v>
      </c>
      <c r="E43" s="62">
        <v>92.0</v>
      </c>
      <c r="F43" s="62">
        <v>89.0</v>
      </c>
      <c r="G43" s="62">
        <v>86.0</v>
      </c>
      <c r="H43" s="62">
        <v>84.0</v>
      </c>
      <c r="I43" s="62">
        <v>79.0</v>
      </c>
      <c r="J43" s="62">
        <v>77.0</v>
      </c>
      <c r="K43" s="62">
        <v>74.0</v>
      </c>
      <c r="L43" s="62">
        <v>72.0</v>
      </c>
      <c r="M43" s="62">
        <v>69.0</v>
      </c>
      <c r="N43" s="62">
        <v>66.0</v>
      </c>
    </row>
    <row r="44">
      <c r="B44" s="63" t="s">
        <v>196</v>
      </c>
      <c r="C44" s="64">
        <v>98.0</v>
      </c>
      <c r="D44" s="64">
        <v>94.0</v>
      </c>
      <c r="E44" s="64">
        <v>91.0</v>
      </c>
      <c r="F44" s="64">
        <v>88.0</v>
      </c>
      <c r="G44" s="64">
        <v>85.0</v>
      </c>
      <c r="H44" s="64">
        <v>82.0</v>
      </c>
      <c r="I44" s="64">
        <v>78.0</v>
      </c>
      <c r="J44" s="64">
        <v>75.0</v>
      </c>
      <c r="K44" s="64">
        <v>73.0</v>
      </c>
      <c r="L44" s="64">
        <v>70.0</v>
      </c>
      <c r="M44" s="64">
        <v>67.0</v>
      </c>
      <c r="N44" s="64">
        <v>65.0</v>
      </c>
    </row>
    <row r="45">
      <c r="B45" s="61" t="s">
        <v>197</v>
      </c>
      <c r="C45" s="62">
        <v>96.0</v>
      </c>
      <c r="D45" s="62">
        <v>92.0</v>
      </c>
      <c r="E45" s="62">
        <v>89.0</v>
      </c>
      <c r="F45" s="62">
        <v>86.0</v>
      </c>
      <c r="G45" s="62">
        <v>84.0</v>
      </c>
      <c r="H45" s="62">
        <v>81.0</v>
      </c>
      <c r="I45" s="62">
        <v>77.0</v>
      </c>
      <c r="J45" s="62">
        <v>74.0</v>
      </c>
      <c r="K45" s="62">
        <v>72.0</v>
      </c>
      <c r="L45" s="62">
        <v>69.0</v>
      </c>
      <c r="M45" s="62">
        <v>66.0</v>
      </c>
      <c r="N45" s="62">
        <v>63.0</v>
      </c>
    </row>
    <row r="46">
      <c r="B46" s="63" t="s">
        <v>198</v>
      </c>
      <c r="C46" s="64">
        <v>94.0</v>
      </c>
      <c r="D46" s="64">
        <v>91.0</v>
      </c>
      <c r="E46" s="64">
        <v>88.0</v>
      </c>
      <c r="F46" s="64">
        <v>85.0</v>
      </c>
      <c r="G46" s="64">
        <v>82.0</v>
      </c>
      <c r="H46" s="64">
        <v>80.0</v>
      </c>
      <c r="I46" s="64">
        <v>75.0</v>
      </c>
      <c r="J46" s="64">
        <v>73.0</v>
      </c>
      <c r="K46" s="64">
        <v>70.0</v>
      </c>
      <c r="L46" s="64">
        <v>67.0</v>
      </c>
      <c r="M46" s="64">
        <v>65.0</v>
      </c>
      <c r="N46" s="64">
        <v>62.0</v>
      </c>
    </row>
    <row r="47">
      <c r="B47" s="61" t="s">
        <v>199</v>
      </c>
      <c r="C47" s="62">
        <v>92.0</v>
      </c>
      <c r="D47" s="62">
        <v>89.0</v>
      </c>
      <c r="E47" s="62">
        <v>86.0</v>
      </c>
      <c r="F47" s="62">
        <v>84.0</v>
      </c>
      <c r="G47" s="62">
        <v>81.0</v>
      </c>
      <c r="H47" s="62">
        <v>79.0</v>
      </c>
      <c r="I47" s="62">
        <v>74.0</v>
      </c>
      <c r="J47" s="62">
        <v>72.0</v>
      </c>
      <c r="K47" s="62">
        <v>69.0</v>
      </c>
      <c r="L47" s="62">
        <v>66.0</v>
      </c>
      <c r="M47" s="62">
        <v>63.0</v>
      </c>
      <c r="N47" s="62">
        <v>61.0</v>
      </c>
    </row>
    <row r="48">
      <c r="B48" s="63" t="s">
        <v>200</v>
      </c>
      <c r="C48" s="64">
        <v>91.0</v>
      </c>
      <c r="D48" s="64">
        <v>88.0</v>
      </c>
      <c r="E48" s="64">
        <v>85.0</v>
      </c>
      <c r="F48" s="64">
        <v>82.0</v>
      </c>
      <c r="G48" s="64">
        <v>80.0</v>
      </c>
      <c r="H48" s="64">
        <v>77.0</v>
      </c>
      <c r="I48" s="64">
        <v>73.0</v>
      </c>
      <c r="J48" s="64">
        <v>70.0</v>
      </c>
      <c r="K48" s="64">
        <v>67.0</v>
      </c>
      <c r="L48" s="64">
        <v>65.0</v>
      </c>
      <c r="M48" s="64">
        <v>62.0</v>
      </c>
      <c r="N48" s="64">
        <v>59.0</v>
      </c>
    </row>
    <row r="49">
      <c r="B49" s="61" t="s">
        <v>201</v>
      </c>
      <c r="C49" s="62">
        <v>89.0</v>
      </c>
      <c r="D49" s="62">
        <v>86.0</v>
      </c>
      <c r="E49" s="62">
        <v>84.0</v>
      </c>
      <c r="F49" s="62">
        <v>81.0</v>
      </c>
      <c r="G49" s="62">
        <v>79.0</v>
      </c>
      <c r="H49" s="62">
        <v>76.0</v>
      </c>
      <c r="I49" s="62">
        <v>72.0</v>
      </c>
      <c r="J49" s="62">
        <v>69.0</v>
      </c>
      <c r="K49" s="62">
        <v>66.0</v>
      </c>
      <c r="L49" s="62">
        <v>63.0</v>
      </c>
      <c r="M49" s="62">
        <v>61.0</v>
      </c>
      <c r="N49" s="62">
        <v>58.0</v>
      </c>
    </row>
    <row r="50">
      <c r="B50" s="63" t="s">
        <v>202</v>
      </c>
      <c r="C50" s="64">
        <v>88.0</v>
      </c>
      <c r="D50" s="64">
        <v>85.0</v>
      </c>
      <c r="E50" s="64">
        <v>82.0</v>
      </c>
      <c r="F50" s="64">
        <v>80.0</v>
      </c>
      <c r="G50" s="64">
        <v>77.0</v>
      </c>
      <c r="H50" s="64">
        <v>75.0</v>
      </c>
      <c r="I50" s="64">
        <v>70.0</v>
      </c>
      <c r="J50" s="64">
        <v>67.0</v>
      </c>
      <c r="K50" s="64">
        <v>65.0</v>
      </c>
      <c r="L50" s="64">
        <v>62.0</v>
      </c>
      <c r="M50" s="64">
        <v>59.0</v>
      </c>
      <c r="N50" s="64">
        <v>57.0</v>
      </c>
    </row>
    <row r="51">
      <c r="B51" s="61" t="s">
        <v>203</v>
      </c>
      <c r="C51" s="62">
        <v>86.0</v>
      </c>
      <c r="D51" s="62">
        <v>84.0</v>
      </c>
      <c r="E51" s="62">
        <v>81.0</v>
      </c>
      <c r="F51" s="62">
        <v>79.0</v>
      </c>
      <c r="G51" s="62">
        <v>76.0</v>
      </c>
      <c r="H51" s="62">
        <v>74.0</v>
      </c>
      <c r="I51" s="62">
        <v>69.0</v>
      </c>
      <c r="J51" s="62">
        <v>66.0</v>
      </c>
      <c r="K51" s="62">
        <v>63.0</v>
      </c>
      <c r="L51" s="62">
        <v>61.0</v>
      </c>
      <c r="M51" s="62">
        <v>58.0</v>
      </c>
      <c r="N51" s="62">
        <v>55.0</v>
      </c>
    </row>
    <row r="52">
      <c r="B52" s="63" t="s">
        <v>204</v>
      </c>
      <c r="C52" s="64">
        <v>85.0</v>
      </c>
      <c r="D52" s="64">
        <v>82.0</v>
      </c>
      <c r="E52" s="64">
        <v>80.0</v>
      </c>
      <c r="F52" s="64">
        <v>77.0</v>
      </c>
      <c r="G52" s="64">
        <v>75.0</v>
      </c>
      <c r="H52" s="64">
        <v>72.0</v>
      </c>
      <c r="I52" s="64">
        <v>67.0</v>
      </c>
      <c r="J52" s="64">
        <v>65.0</v>
      </c>
      <c r="K52" s="64">
        <v>62.0</v>
      </c>
      <c r="L52" s="64">
        <v>59.0</v>
      </c>
      <c r="M52" s="64">
        <v>57.0</v>
      </c>
      <c r="N52" s="64">
        <v>54.0</v>
      </c>
    </row>
    <row r="53">
      <c r="B53" s="61" t="s">
        <v>128</v>
      </c>
      <c r="C53" s="62">
        <v>84.0</v>
      </c>
      <c r="D53" s="62">
        <v>81.0</v>
      </c>
      <c r="E53" s="62">
        <v>79.0</v>
      </c>
      <c r="F53" s="62">
        <v>76.0</v>
      </c>
      <c r="G53" s="62">
        <v>74.0</v>
      </c>
      <c r="H53" s="62">
        <v>71.0</v>
      </c>
      <c r="I53" s="62">
        <v>66.0</v>
      </c>
      <c r="J53" s="62">
        <v>63.0</v>
      </c>
      <c r="K53" s="62">
        <v>61.0</v>
      </c>
      <c r="L53" s="62">
        <v>58.0</v>
      </c>
      <c r="M53" s="62">
        <v>55.0</v>
      </c>
      <c r="N53" s="62">
        <v>53.0</v>
      </c>
    </row>
    <row r="54">
      <c r="B54" s="65" t="s">
        <v>205</v>
      </c>
    </row>
    <row r="55">
      <c r="B55" s="66" t="s">
        <v>206</v>
      </c>
      <c r="C55" s="66" t="s">
        <v>45</v>
      </c>
      <c r="D55" s="66" t="s">
        <v>209</v>
      </c>
      <c r="E55" s="67" t="s">
        <v>193</v>
      </c>
      <c r="F55" s="68" t="s">
        <v>196</v>
      </c>
      <c r="G55" s="69" t="s">
        <v>197</v>
      </c>
      <c r="H55" s="70" t="s">
        <v>198</v>
      </c>
      <c r="I55" s="66" t="s">
        <v>199</v>
      </c>
      <c r="J55" s="71" t="s">
        <v>200</v>
      </c>
      <c r="K55" s="72" t="s">
        <v>201</v>
      </c>
      <c r="L55" s="73" t="s">
        <v>211</v>
      </c>
      <c r="M55" s="74" t="s">
        <v>212</v>
      </c>
      <c r="N55" s="75" t="s">
        <v>213</v>
      </c>
    </row>
    <row r="56">
      <c r="B56" s="79">
        <f>Info!B30</f>
        <v>135</v>
      </c>
      <c r="C56" s="79">
        <v>6.0</v>
      </c>
      <c r="D56" s="79" t="s">
        <v>201</v>
      </c>
      <c r="E56" s="67" t="s">
        <v>217</v>
      </c>
      <c r="F56" s="68" t="s">
        <v>218</v>
      </c>
      <c r="G56" s="69" t="s">
        <v>219</v>
      </c>
      <c r="H56" s="70" t="s">
        <v>220</v>
      </c>
      <c r="I56" s="66" t="s">
        <v>221</v>
      </c>
      <c r="J56" s="71" t="s">
        <v>222</v>
      </c>
      <c r="K56" s="72" t="s">
        <v>223</v>
      </c>
      <c r="L56" s="73" t="s">
        <v>224</v>
      </c>
      <c r="M56" s="74" t="s">
        <v>225</v>
      </c>
      <c r="N56" s="75" t="s">
        <v>226</v>
      </c>
    </row>
    <row r="57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</row>
    <row r="58">
      <c r="B58" s="80" t="s">
        <v>227</v>
      </c>
      <c r="C58" s="81" t="s">
        <v>228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  <row r="59">
      <c r="A59" s="90" t="s">
        <v>63</v>
      </c>
      <c r="B59" s="88">
        <f t="array" ref="B59">(INDEX(C43:N53,MATCH(D56,B43:B53,0),MATCH(C56,C42:N42,0)))/100*B56</f>
        <v>102.6</v>
      </c>
      <c r="C59" s="89">
        <f>ROUND(B59/2.5,0)*2.5</f>
        <v>102.5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</row>
  </sheetData>
  <mergeCells count="4">
    <mergeCell ref="A1:B1"/>
    <mergeCell ref="B14:N14"/>
    <mergeCell ref="B34:N34"/>
    <mergeCell ref="B54:N54"/>
  </mergeCell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45.63"/>
    <col customWidth="1" min="4" max="4" width="20.75"/>
    <col customWidth="1" min="8" max="8" width="16.25"/>
    <col customWidth="1" min="9" max="9" width="15.63"/>
    <col customWidth="1" min="10" max="10" width="24.63"/>
  </cols>
  <sheetData>
    <row r="3">
      <c r="C3" s="39" t="s">
        <v>145</v>
      </c>
      <c r="D3" s="40" t="s">
        <v>146</v>
      </c>
      <c r="E3" s="40" t="s">
        <v>147</v>
      </c>
      <c r="F3" s="40" t="s">
        <v>148</v>
      </c>
      <c r="G3" s="40" t="s">
        <v>149</v>
      </c>
      <c r="H3" s="40" t="s">
        <v>150</v>
      </c>
      <c r="I3" s="40" t="s">
        <v>151</v>
      </c>
      <c r="J3" s="40" t="s">
        <v>152</v>
      </c>
    </row>
    <row r="4">
      <c r="C4" s="41">
        <f>DATE(2026,7,6)</f>
        <v>46209</v>
      </c>
      <c r="D4" s="42"/>
      <c r="E4" s="42"/>
      <c r="F4" s="42"/>
      <c r="G4" s="42"/>
      <c r="H4" s="42"/>
      <c r="I4" s="42"/>
      <c r="J4" s="42"/>
    </row>
    <row r="5">
      <c r="C5" s="43">
        <f t="shared" ref="C5:C10" si="1">C4+1</f>
        <v>46210</v>
      </c>
      <c r="D5" s="44"/>
      <c r="E5" s="44"/>
      <c r="F5" s="44"/>
      <c r="G5" s="44"/>
      <c r="H5" s="44"/>
      <c r="I5" s="44"/>
      <c r="J5" s="44"/>
    </row>
    <row r="6">
      <c r="C6" s="41">
        <f t="shared" si="1"/>
        <v>46211</v>
      </c>
      <c r="D6" s="42"/>
      <c r="E6" s="42"/>
      <c r="F6" s="42"/>
      <c r="G6" s="42"/>
      <c r="H6" s="42"/>
      <c r="I6" s="42"/>
      <c r="J6" s="42"/>
    </row>
    <row r="7">
      <c r="C7" s="43">
        <f t="shared" si="1"/>
        <v>46212</v>
      </c>
      <c r="D7" s="44"/>
      <c r="E7" s="44"/>
      <c r="F7" s="44"/>
      <c r="G7" s="44"/>
      <c r="H7" s="44"/>
      <c r="I7" s="44"/>
      <c r="J7" s="44"/>
    </row>
    <row r="8">
      <c r="C8" s="41">
        <f t="shared" si="1"/>
        <v>46213</v>
      </c>
      <c r="D8" s="42"/>
      <c r="E8" s="42"/>
      <c r="F8" s="42"/>
      <c r="G8" s="42"/>
      <c r="H8" s="42"/>
      <c r="I8" s="42"/>
      <c r="J8" s="42"/>
    </row>
    <row r="9">
      <c r="C9" s="43">
        <f t="shared" si="1"/>
        <v>46214</v>
      </c>
      <c r="D9" s="44"/>
      <c r="E9" s="44"/>
      <c r="F9" s="44"/>
      <c r="G9" s="44"/>
      <c r="H9" s="44"/>
      <c r="I9" s="44"/>
      <c r="J9" s="44"/>
    </row>
    <row r="10">
      <c r="C10" s="41">
        <f t="shared" si="1"/>
        <v>46215</v>
      </c>
      <c r="D10" s="42"/>
      <c r="E10" s="42"/>
      <c r="F10" s="42"/>
      <c r="G10" s="42"/>
      <c r="H10" s="42"/>
      <c r="I10" s="42"/>
      <c r="J10" s="42"/>
    </row>
    <row r="11">
      <c r="C11" s="45" t="s">
        <v>158</v>
      </c>
      <c r="D11" s="46" t="str">
        <f t="shared" ref="D11:J11" si="2">AVERAGE(D4:D10)</f>
        <v>#DIV/0!</v>
      </c>
      <c r="E11" s="46" t="str">
        <f t="shared" si="2"/>
        <v>#DIV/0!</v>
      </c>
      <c r="F11" s="46" t="str">
        <f t="shared" si="2"/>
        <v>#DIV/0!</v>
      </c>
      <c r="G11" s="46" t="str">
        <f t="shared" si="2"/>
        <v>#DIV/0!</v>
      </c>
      <c r="H11" s="46" t="str">
        <f t="shared" si="2"/>
        <v>#DIV/0!</v>
      </c>
      <c r="I11" s="46" t="str">
        <f t="shared" si="2"/>
        <v>#DIV/0!</v>
      </c>
      <c r="J11" s="46" t="str">
        <f t="shared" si="2"/>
        <v>#DIV/0!</v>
      </c>
    </row>
    <row r="12">
      <c r="C12" s="47"/>
      <c r="D12" s="47"/>
      <c r="E12" s="47"/>
      <c r="F12" s="47"/>
      <c r="G12" s="47"/>
      <c r="H12" s="47"/>
      <c r="I12" s="47"/>
      <c r="J12" s="47"/>
    </row>
    <row r="13">
      <c r="C13" s="39" t="s">
        <v>145</v>
      </c>
      <c r="D13" s="40" t="s">
        <v>146</v>
      </c>
      <c r="E13" s="40" t="s">
        <v>147</v>
      </c>
      <c r="F13" s="40" t="s">
        <v>148</v>
      </c>
      <c r="G13" s="40" t="s">
        <v>149</v>
      </c>
      <c r="H13" s="40" t="s">
        <v>150</v>
      </c>
      <c r="I13" s="40" t="s">
        <v>151</v>
      </c>
      <c r="J13" s="40" t="s">
        <v>152</v>
      </c>
    </row>
    <row r="14">
      <c r="C14" s="41">
        <f>DATE(2026,7,13)</f>
        <v>46216</v>
      </c>
      <c r="D14" s="42"/>
      <c r="E14" s="42"/>
      <c r="F14" s="42"/>
      <c r="G14" s="42"/>
      <c r="H14" s="42"/>
      <c r="I14" s="42"/>
      <c r="J14" s="42"/>
    </row>
    <row r="15">
      <c r="C15" s="43">
        <f t="shared" ref="C15:C20" si="3">C14+1</f>
        <v>46217</v>
      </c>
      <c r="D15" s="44"/>
      <c r="E15" s="44"/>
      <c r="F15" s="44"/>
      <c r="G15" s="44"/>
      <c r="H15" s="44"/>
      <c r="I15" s="44"/>
      <c r="J15" s="44"/>
    </row>
    <row r="16">
      <c r="C16" s="41">
        <f t="shared" si="3"/>
        <v>46218</v>
      </c>
      <c r="D16" s="42"/>
      <c r="E16" s="42"/>
      <c r="F16" s="42"/>
      <c r="G16" s="42"/>
      <c r="H16" s="42"/>
      <c r="I16" s="42"/>
      <c r="J16" s="42"/>
    </row>
    <row r="17">
      <c r="C17" s="43">
        <f t="shared" si="3"/>
        <v>46219</v>
      </c>
      <c r="D17" s="44"/>
      <c r="E17" s="44"/>
      <c r="F17" s="44"/>
      <c r="G17" s="44"/>
      <c r="H17" s="44"/>
      <c r="I17" s="44"/>
      <c r="J17" s="44"/>
    </row>
    <row r="18">
      <c r="C18" s="41">
        <f t="shared" si="3"/>
        <v>46220</v>
      </c>
      <c r="D18" s="42"/>
      <c r="E18" s="42"/>
      <c r="F18" s="42"/>
      <c r="G18" s="42"/>
      <c r="H18" s="42"/>
      <c r="I18" s="42"/>
      <c r="J18" s="42"/>
    </row>
    <row r="19">
      <c r="C19" s="43">
        <f t="shared" si="3"/>
        <v>46221</v>
      </c>
      <c r="D19" s="44"/>
      <c r="E19" s="44"/>
      <c r="F19" s="44"/>
      <c r="G19" s="44"/>
      <c r="H19" s="44"/>
      <c r="I19" s="44"/>
      <c r="J19" s="44"/>
    </row>
    <row r="20">
      <c r="C20" s="41">
        <f t="shared" si="3"/>
        <v>46222</v>
      </c>
      <c r="D20" s="42"/>
      <c r="E20" s="42"/>
      <c r="F20" s="42"/>
      <c r="G20" s="42"/>
      <c r="H20" s="42"/>
      <c r="I20" s="42"/>
      <c r="J20" s="42"/>
    </row>
    <row r="21">
      <c r="C21" s="45" t="s">
        <v>158</v>
      </c>
      <c r="D21" s="46" t="str">
        <f t="shared" ref="D21:J21" si="4">AVERAGE(D14:D20)</f>
        <v>#DIV/0!</v>
      </c>
      <c r="E21" s="46" t="str">
        <f t="shared" si="4"/>
        <v>#DIV/0!</v>
      </c>
      <c r="F21" s="46" t="str">
        <f t="shared" si="4"/>
        <v>#DIV/0!</v>
      </c>
      <c r="G21" s="46" t="str">
        <f t="shared" si="4"/>
        <v>#DIV/0!</v>
      </c>
      <c r="H21" s="46" t="str">
        <f t="shared" si="4"/>
        <v>#DIV/0!</v>
      </c>
      <c r="I21" s="46" t="str">
        <f t="shared" si="4"/>
        <v>#DIV/0!</v>
      </c>
      <c r="J21" s="46" t="str">
        <f t="shared" si="4"/>
        <v>#DIV/0!</v>
      </c>
    </row>
    <row r="22">
      <c r="C22" s="23"/>
      <c r="D22" s="23"/>
      <c r="E22" s="23"/>
      <c r="F22" s="23"/>
      <c r="G22" s="23"/>
      <c r="H22" s="23"/>
      <c r="I22" s="23"/>
      <c r="J22" s="23"/>
    </row>
    <row r="23">
      <c r="C23" s="39" t="s">
        <v>145</v>
      </c>
      <c r="D23" s="40" t="s">
        <v>146</v>
      </c>
      <c r="E23" s="40" t="s">
        <v>147</v>
      </c>
      <c r="F23" s="40" t="s">
        <v>148</v>
      </c>
      <c r="G23" s="40" t="s">
        <v>149</v>
      </c>
      <c r="H23" s="40" t="s">
        <v>150</v>
      </c>
      <c r="I23" s="40" t="s">
        <v>151</v>
      </c>
      <c r="J23" s="40" t="s">
        <v>152</v>
      </c>
    </row>
    <row r="24">
      <c r="C24" s="41">
        <f>DATE(2026,7,20)</f>
        <v>46223</v>
      </c>
      <c r="D24" s="42"/>
      <c r="E24" s="42"/>
      <c r="F24" s="42"/>
      <c r="G24" s="42"/>
      <c r="H24" s="42"/>
      <c r="I24" s="42"/>
      <c r="J24" s="42"/>
    </row>
    <row r="25">
      <c r="C25" s="43">
        <f t="shared" ref="C25:C30" si="5">C24+1</f>
        <v>46224</v>
      </c>
      <c r="D25" s="44"/>
      <c r="E25" s="44"/>
      <c r="F25" s="44"/>
      <c r="G25" s="44"/>
      <c r="H25" s="44"/>
      <c r="I25" s="44"/>
      <c r="J25" s="44"/>
    </row>
    <row r="26">
      <c r="C26" s="41">
        <f t="shared" si="5"/>
        <v>46225</v>
      </c>
      <c r="D26" s="42"/>
      <c r="E26" s="42"/>
      <c r="F26" s="42"/>
      <c r="G26" s="42"/>
      <c r="H26" s="42"/>
      <c r="I26" s="42"/>
      <c r="J26" s="42"/>
    </row>
    <row r="27">
      <c r="C27" s="43">
        <f t="shared" si="5"/>
        <v>46226</v>
      </c>
      <c r="D27" s="44"/>
      <c r="E27" s="44"/>
      <c r="F27" s="44"/>
      <c r="G27" s="44"/>
      <c r="H27" s="44"/>
      <c r="I27" s="44"/>
      <c r="J27" s="44"/>
    </row>
    <row r="28">
      <c r="C28" s="41">
        <f t="shared" si="5"/>
        <v>46227</v>
      </c>
      <c r="D28" s="42"/>
      <c r="E28" s="42"/>
      <c r="F28" s="42"/>
      <c r="G28" s="42"/>
      <c r="H28" s="42"/>
      <c r="I28" s="42"/>
      <c r="J28" s="42"/>
    </row>
    <row r="29">
      <c r="C29" s="43">
        <f t="shared" si="5"/>
        <v>46228</v>
      </c>
      <c r="D29" s="44"/>
      <c r="E29" s="44"/>
      <c r="F29" s="44"/>
      <c r="G29" s="44"/>
      <c r="H29" s="44"/>
      <c r="I29" s="44"/>
      <c r="J29" s="44"/>
    </row>
    <row r="30">
      <c r="C30" s="41">
        <f t="shared" si="5"/>
        <v>46229</v>
      </c>
      <c r="D30" s="42"/>
      <c r="E30" s="42"/>
      <c r="F30" s="42"/>
      <c r="G30" s="42"/>
      <c r="H30" s="42"/>
      <c r="I30" s="42"/>
      <c r="J30" s="42"/>
    </row>
    <row r="31">
      <c r="C31" s="45" t="s">
        <v>158</v>
      </c>
      <c r="D31" s="46" t="str">
        <f t="shared" ref="D31:J31" si="6">AVERAGE(D24:D30)</f>
        <v>#DIV/0!</v>
      </c>
      <c r="E31" s="46" t="str">
        <f t="shared" si="6"/>
        <v>#DIV/0!</v>
      </c>
      <c r="F31" s="46" t="str">
        <f t="shared" si="6"/>
        <v>#DIV/0!</v>
      </c>
      <c r="G31" s="46" t="str">
        <f t="shared" si="6"/>
        <v>#DIV/0!</v>
      </c>
      <c r="H31" s="46" t="str">
        <f t="shared" si="6"/>
        <v>#DIV/0!</v>
      </c>
      <c r="I31" s="46" t="str">
        <f t="shared" si="6"/>
        <v>#DIV/0!</v>
      </c>
      <c r="J31" s="46" t="str">
        <f t="shared" si="6"/>
        <v>#DIV/0!</v>
      </c>
    </row>
    <row r="32">
      <c r="C32" s="23"/>
      <c r="D32" s="23"/>
      <c r="E32" s="23"/>
      <c r="F32" s="23"/>
      <c r="G32" s="23"/>
      <c r="H32" s="23"/>
      <c r="I32" s="23"/>
      <c r="J32" s="23"/>
    </row>
    <row r="33">
      <c r="C33" s="39" t="s">
        <v>145</v>
      </c>
      <c r="D33" s="40" t="s">
        <v>146</v>
      </c>
      <c r="E33" s="40" t="s">
        <v>147</v>
      </c>
      <c r="F33" s="40" t="s">
        <v>148</v>
      </c>
      <c r="G33" s="40" t="s">
        <v>149</v>
      </c>
      <c r="H33" s="40" t="s">
        <v>150</v>
      </c>
      <c r="I33" s="40" t="s">
        <v>151</v>
      </c>
      <c r="J33" s="40" t="s">
        <v>152</v>
      </c>
    </row>
    <row r="34">
      <c r="C34" s="41">
        <f>DATE(2026,7,27)</f>
        <v>46230</v>
      </c>
      <c r="D34" s="42"/>
      <c r="E34" s="42"/>
      <c r="F34" s="42"/>
      <c r="G34" s="42"/>
      <c r="H34" s="42"/>
      <c r="I34" s="42"/>
      <c r="J34" s="42"/>
    </row>
    <row r="35">
      <c r="C35" s="43">
        <f t="shared" ref="C35:C40" si="7">C34+1</f>
        <v>46231</v>
      </c>
      <c r="D35" s="44"/>
      <c r="E35" s="44"/>
      <c r="F35" s="44"/>
      <c r="G35" s="44"/>
      <c r="H35" s="44"/>
      <c r="I35" s="44"/>
      <c r="J35" s="44"/>
    </row>
    <row r="36">
      <c r="C36" s="41">
        <f t="shared" si="7"/>
        <v>46232</v>
      </c>
      <c r="D36" s="42"/>
      <c r="E36" s="42"/>
      <c r="F36" s="42"/>
      <c r="G36" s="42"/>
      <c r="H36" s="42"/>
      <c r="I36" s="42"/>
      <c r="J36" s="42"/>
    </row>
    <row r="37">
      <c r="C37" s="43">
        <f t="shared" si="7"/>
        <v>46233</v>
      </c>
      <c r="D37" s="44"/>
      <c r="E37" s="44"/>
      <c r="F37" s="44"/>
      <c r="G37" s="44"/>
      <c r="H37" s="44"/>
      <c r="I37" s="44"/>
      <c r="J37" s="44"/>
    </row>
    <row r="38">
      <c r="C38" s="41">
        <f t="shared" si="7"/>
        <v>46234</v>
      </c>
      <c r="D38" s="42"/>
      <c r="E38" s="42"/>
      <c r="F38" s="42"/>
      <c r="G38" s="42"/>
      <c r="H38" s="42"/>
      <c r="I38" s="42"/>
      <c r="J38" s="42"/>
    </row>
    <row r="39">
      <c r="C39" s="43">
        <f t="shared" si="7"/>
        <v>46235</v>
      </c>
      <c r="D39" s="44"/>
      <c r="E39" s="44"/>
      <c r="F39" s="44"/>
      <c r="G39" s="44"/>
      <c r="H39" s="44"/>
      <c r="I39" s="44"/>
      <c r="J39" s="44"/>
    </row>
    <row r="40">
      <c r="C40" s="41">
        <f t="shared" si="7"/>
        <v>46236</v>
      </c>
      <c r="D40" s="42"/>
      <c r="E40" s="42"/>
      <c r="F40" s="42"/>
      <c r="G40" s="42"/>
      <c r="H40" s="42"/>
      <c r="I40" s="42"/>
      <c r="J40" s="42"/>
    </row>
    <row r="41">
      <c r="C41" s="45" t="s">
        <v>158</v>
      </c>
      <c r="D41" s="46" t="str">
        <f t="shared" ref="D41:J41" si="8">AVERAGE(D34:D40)</f>
        <v>#DIV/0!</v>
      </c>
      <c r="E41" s="46" t="str">
        <f t="shared" si="8"/>
        <v>#DIV/0!</v>
      </c>
      <c r="F41" s="46" t="str">
        <f t="shared" si="8"/>
        <v>#DIV/0!</v>
      </c>
      <c r="G41" s="46" t="str">
        <f t="shared" si="8"/>
        <v>#DIV/0!</v>
      </c>
      <c r="H41" s="46" t="str">
        <f t="shared" si="8"/>
        <v>#DIV/0!</v>
      </c>
      <c r="I41" s="46" t="str">
        <f t="shared" si="8"/>
        <v>#DIV/0!</v>
      </c>
      <c r="J41" s="46" t="str">
        <f t="shared" si="8"/>
        <v>#DIV/0!</v>
      </c>
    </row>
    <row r="42">
      <c r="C42" s="23"/>
      <c r="D42" s="23"/>
      <c r="E42" s="23"/>
      <c r="F42" s="23"/>
      <c r="G42" s="23"/>
      <c r="H42" s="23"/>
      <c r="I42" s="23"/>
      <c r="J42" s="23"/>
    </row>
    <row r="43">
      <c r="C43" s="39" t="s">
        <v>145</v>
      </c>
      <c r="D43" s="40" t="s">
        <v>146</v>
      </c>
      <c r="E43" s="40" t="s">
        <v>147</v>
      </c>
      <c r="F43" s="40" t="s">
        <v>148</v>
      </c>
      <c r="G43" s="40" t="s">
        <v>149</v>
      </c>
      <c r="H43" s="40" t="s">
        <v>150</v>
      </c>
      <c r="I43" s="40" t="s">
        <v>151</v>
      </c>
      <c r="J43" s="40" t="s">
        <v>152</v>
      </c>
    </row>
    <row r="44">
      <c r="C44" s="41">
        <f>DATE(2026,8,3)</f>
        <v>46237</v>
      </c>
      <c r="D44" s="42"/>
      <c r="E44" s="42"/>
      <c r="F44" s="42"/>
      <c r="G44" s="42"/>
      <c r="H44" s="42"/>
      <c r="I44" s="42"/>
      <c r="J44" s="42"/>
    </row>
    <row r="45">
      <c r="C45" s="43">
        <f t="shared" ref="C45:C50" si="9">C44+1</f>
        <v>46238</v>
      </c>
      <c r="D45" s="44"/>
      <c r="E45" s="44"/>
      <c r="F45" s="44"/>
      <c r="G45" s="44"/>
      <c r="H45" s="44"/>
      <c r="I45" s="44"/>
      <c r="J45" s="44"/>
    </row>
    <row r="46">
      <c r="C46" s="41">
        <f t="shared" si="9"/>
        <v>46239</v>
      </c>
      <c r="D46" s="42"/>
      <c r="E46" s="42"/>
      <c r="F46" s="42"/>
      <c r="G46" s="42"/>
      <c r="H46" s="42"/>
      <c r="I46" s="42"/>
      <c r="J46" s="42"/>
    </row>
    <row r="47">
      <c r="C47" s="43">
        <f t="shared" si="9"/>
        <v>46240</v>
      </c>
      <c r="D47" s="44"/>
      <c r="E47" s="44"/>
      <c r="F47" s="44"/>
      <c r="G47" s="44"/>
      <c r="H47" s="44"/>
      <c r="I47" s="44"/>
      <c r="J47" s="44"/>
    </row>
    <row r="48">
      <c r="C48" s="41">
        <f t="shared" si="9"/>
        <v>46241</v>
      </c>
      <c r="D48" s="42"/>
      <c r="E48" s="42"/>
      <c r="F48" s="42"/>
      <c r="G48" s="42"/>
      <c r="H48" s="42"/>
      <c r="I48" s="42"/>
      <c r="J48" s="42"/>
    </row>
    <row r="49">
      <c r="C49" s="43">
        <f t="shared" si="9"/>
        <v>46242</v>
      </c>
      <c r="D49" s="44"/>
      <c r="E49" s="44"/>
      <c r="F49" s="44"/>
      <c r="G49" s="44"/>
      <c r="H49" s="44"/>
      <c r="I49" s="44"/>
      <c r="J49" s="44"/>
    </row>
    <row r="50">
      <c r="C50" s="41">
        <f t="shared" si="9"/>
        <v>46243</v>
      </c>
      <c r="D50" s="42"/>
      <c r="E50" s="42"/>
      <c r="F50" s="42"/>
      <c r="G50" s="42"/>
      <c r="H50" s="42"/>
      <c r="I50" s="42"/>
      <c r="J50" s="42"/>
    </row>
    <row r="51">
      <c r="C51" s="45" t="s">
        <v>158</v>
      </c>
      <c r="D51" s="46" t="str">
        <f t="shared" ref="D51:J51" si="10">AVERAGE(D44:D50)</f>
        <v>#DIV/0!</v>
      </c>
      <c r="E51" s="46" t="str">
        <f t="shared" si="10"/>
        <v>#DIV/0!</v>
      </c>
      <c r="F51" s="46" t="str">
        <f t="shared" si="10"/>
        <v>#DIV/0!</v>
      </c>
      <c r="G51" s="46" t="str">
        <f t="shared" si="10"/>
        <v>#DIV/0!</v>
      </c>
      <c r="H51" s="46" t="str">
        <f t="shared" si="10"/>
        <v>#DIV/0!</v>
      </c>
      <c r="I51" s="46" t="str">
        <f t="shared" si="10"/>
        <v>#DIV/0!</v>
      </c>
      <c r="J51" s="46" t="str">
        <f t="shared" si="10"/>
        <v>#DIV/0!</v>
      </c>
    </row>
    <row r="52">
      <c r="C52" s="23"/>
      <c r="D52" s="23"/>
      <c r="E52" s="23"/>
      <c r="F52" s="23"/>
      <c r="G52" s="23"/>
      <c r="H52" s="23"/>
      <c r="I52" s="23"/>
      <c r="J52" s="23"/>
    </row>
    <row r="53">
      <c r="C53" s="39" t="s">
        <v>145</v>
      </c>
      <c r="D53" s="40" t="s">
        <v>146</v>
      </c>
      <c r="E53" s="40" t="s">
        <v>147</v>
      </c>
      <c r="F53" s="40" t="s">
        <v>148</v>
      </c>
      <c r="G53" s="40" t="s">
        <v>149</v>
      </c>
      <c r="H53" s="40" t="s">
        <v>150</v>
      </c>
      <c r="I53" s="40" t="s">
        <v>151</v>
      </c>
      <c r="J53" s="40" t="s">
        <v>152</v>
      </c>
    </row>
    <row r="54">
      <c r="C54" s="41">
        <f>DATE(2026,8,10)</f>
        <v>46244</v>
      </c>
      <c r="D54" s="42"/>
      <c r="E54" s="42"/>
      <c r="F54" s="42"/>
      <c r="G54" s="42"/>
      <c r="H54" s="42"/>
      <c r="I54" s="42"/>
      <c r="J54" s="42"/>
    </row>
    <row r="55">
      <c r="C55" s="43">
        <f t="shared" ref="C55:C60" si="11">C54+1</f>
        <v>46245</v>
      </c>
      <c r="D55" s="44"/>
      <c r="E55" s="44"/>
      <c r="F55" s="44"/>
      <c r="G55" s="44"/>
      <c r="H55" s="44"/>
      <c r="I55" s="44"/>
      <c r="J55" s="44"/>
    </row>
    <row r="56">
      <c r="C56" s="41">
        <f t="shared" si="11"/>
        <v>46246</v>
      </c>
      <c r="D56" s="42"/>
      <c r="E56" s="42"/>
      <c r="F56" s="42"/>
      <c r="G56" s="42"/>
      <c r="H56" s="42"/>
      <c r="I56" s="42"/>
      <c r="J56" s="42"/>
    </row>
    <row r="57">
      <c r="C57" s="43">
        <f t="shared" si="11"/>
        <v>46247</v>
      </c>
      <c r="D57" s="44"/>
      <c r="E57" s="44"/>
      <c r="F57" s="44"/>
      <c r="G57" s="44"/>
      <c r="H57" s="44"/>
      <c r="I57" s="44"/>
      <c r="J57" s="44"/>
    </row>
    <row r="58">
      <c r="C58" s="41">
        <f t="shared" si="11"/>
        <v>46248</v>
      </c>
      <c r="D58" s="42"/>
      <c r="E58" s="42"/>
      <c r="F58" s="42"/>
      <c r="G58" s="42"/>
      <c r="H58" s="42"/>
      <c r="I58" s="42"/>
      <c r="J58" s="42"/>
    </row>
    <row r="59">
      <c r="C59" s="43">
        <f t="shared" si="11"/>
        <v>46249</v>
      </c>
      <c r="D59" s="44"/>
      <c r="E59" s="44"/>
      <c r="F59" s="44"/>
      <c r="G59" s="44"/>
      <c r="H59" s="44"/>
      <c r="I59" s="44"/>
      <c r="J59" s="44"/>
    </row>
    <row r="60">
      <c r="C60" s="41">
        <f t="shared" si="11"/>
        <v>46250</v>
      </c>
      <c r="D60" s="42"/>
      <c r="E60" s="42"/>
      <c r="F60" s="42"/>
      <c r="G60" s="42"/>
      <c r="H60" s="42"/>
      <c r="I60" s="42"/>
      <c r="J60" s="42"/>
    </row>
    <row r="61">
      <c r="C61" s="45" t="s">
        <v>158</v>
      </c>
      <c r="D61" s="46" t="str">
        <f t="shared" ref="D61:J61" si="12">AVERAGE(D54:D60)</f>
        <v>#DIV/0!</v>
      </c>
      <c r="E61" s="46" t="str">
        <f t="shared" si="12"/>
        <v>#DIV/0!</v>
      </c>
      <c r="F61" s="46" t="str">
        <f t="shared" si="12"/>
        <v>#DIV/0!</v>
      </c>
      <c r="G61" s="46" t="str">
        <f t="shared" si="12"/>
        <v>#DIV/0!</v>
      </c>
      <c r="H61" s="46" t="str">
        <f t="shared" si="12"/>
        <v>#DIV/0!</v>
      </c>
      <c r="I61" s="46" t="str">
        <f t="shared" si="12"/>
        <v>#DIV/0!</v>
      </c>
      <c r="J61" s="46" t="str">
        <f t="shared" si="12"/>
        <v>#DIV/0!</v>
      </c>
    </row>
    <row r="62">
      <c r="C62" s="23"/>
      <c r="D62" s="23"/>
      <c r="E62" s="23"/>
      <c r="F62" s="23"/>
      <c r="G62" s="23"/>
      <c r="H62" s="23"/>
      <c r="I62" s="23"/>
      <c r="J62" s="23"/>
    </row>
    <row r="63">
      <c r="C63" s="39" t="s">
        <v>145</v>
      </c>
      <c r="D63" s="40" t="s">
        <v>146</v>
      </c>
      <c r="E63" s="40" t="s">
        <v>147</v>
      </c>
      <c r="F63" s="40" t="s">
        <v>148</v>
      </c>
      <c r="G63" s="40" t="s">
        <v>149</v>
      </c>
      <c r="H63" s="40" t="s">
        <v>150</v>
      </c>
      <c r="I63" s="40" t="s">
        <v>151</v>
      </c>
      <c r="J63" s="40" t="s">
        <v>152</v>
      </c>
    </row>
    <row r="64">
      <c r="C64" s="41">
        <f>DATE(2026,8,17)</f>
        <v>46251</v>
      </c>
      <c r="D64" s="42"/>
      <c r="E64" s="42"/>
      <c r="F64" s="42"/>
      <c r="G64" s="42"/>
      <c r="H64" s="42"/>
      <c r="I64" s="42"/>
      <c r="J64" s="42"/>
    </row>
    <row r="65">
      <c r="C65" s="43">
        <f t="shared" ref="C65:C70" si="13">C64+1</f>
        <v>46252</v>
      </c>
      <c r="D65" s="44"/>
      <c r="E65" s="44"/>
      <c r="F65" s="44"/>
      <c r="G65" s="44"/>
      <c r="H65" s="44"/>
      <c r="I65" s="44"/>
      <c r="J65" s="44"/>
    </row>
    <row r="66">
      <c r="C66" s="41">
        <f t="shared" si="13"/>
        <v>46253</v>
      </c>
      <c r="D66" s="42"/>
      <c r="E66" s="42"/>
      <c r="F66" s="42"/>
      <c r="G66" s="42"/>
      <c r="H66" s="42"/>
      <c r="I66" s="42"/>
      <c r="J66" s="42"/>
    </row>
    <row r="67">
      <c r="C67" s="43">
        <f t="shared" si="13"/>
        <v>46254</v>
      </c>
      <c r="D67" s="44"/>
      <c r="E67" s="44"/>
      <c r="F67" s="44"/>
      <c r="G67" s="44"/>
      <c r="H67" s="44"/>
      <c r="I67" s="44"/>
      <c r="J67" s="44"/>
    </row>
    <row r="68">
      <c r="C68" s="41">
        <f t="shared" si="13"/>
        <v>46255</v>
      </c>
      <c r="D68" s="42"/>
      <c r="E68" s="42"/>
      <c r="F68" s="42"/>
      <c r="G68" s="42"/>
      <c r="H68" s="42"/>
      <c r="I68" s="42"/>
      <c r="J68" s="42"/>
    </row>
    <row r="69">
      <c r="C69" s="43">
        <f t="shared" si="13"/>
        <v>46256</v>
      </c>
      <c r="D69" s="44"/>
      <c r="E69" s="44"/>
      <c r="F69" s="44"/>
      <c r="G69" s="44"/>
      <c r="H69" s="44"/>
      <c r="I69" s="44"/>
      <c r="J69" s="44"/>
    </row>
    <row r="70">
      <c r="C70" s="41">
        <f t="shared" si="13"/>
        <v>46257</v>
      </c>
      <c r="D70" s="42"/>
      <c r="E70" s="42"/>
      <c r="F70" s="42"/>
      <c r="G70" s="42"/>
      <c r="H70" s="42"/>
      <c r="I70" s="42"/>
      <c r="J70" s="42"/>
    </row>
    <row r="71">
      <c r="C71" s="45" t="s">
        <v>158</v>
      </c>
      <c r="D71" s="46" t="str">
        <f t="shared" ref="D71:J71" si="14">AVERAGE(D64:D70)</f>
        <v>#DIV/0!</v>
      </c>
      <c r="E71" s="46" t="str">
        <f t="shared" si="14"/>
        <v>#DIV/0!</v>
      </c>
      <c r="F71" s="46" t="str">
        <f t="shared" si="14"/>
        <v>#DIV/0!</v>
      </c>
      <c r="G71" s="46" t="str">
        <f t="shared" si="14"/>
        <v>#DIV/0!</v>
      </c>
      <c r="H71" s="46" t="str">
        <f t="shared" si="14"/>
        <v>#DIV/0!</v>
      </c>
      <c r="I71" s="46" t="str">
        <f t="shared" si="14"/>
        <v>#DIV/0!</v>
      </c>
      <c r="J71" s="46" t="str">
        <f t="shared" si="14"/>
        <v>#DIV/0!</v>
      </c>
    </row>
    <row r="72">
      <c r="C72" s="23"/>
      <c r="D72" s="23"/>
      <c r="E72" s="23"/>
      <c r="F72" s="23"/>
      <c r="G72" s="23"/>
      <c r="H72" s="23"/>
      <c r="I72" s="23"/>
      <c r="J72" s="23"/>
    </row>
    <row r="73">
      <c r="C73" s="39" t="s">
        <v>145</v>
      </c>
      <c r="D73" s="40" t="s">
        <v>146</v>
      </c>
      <c r="E73" s="40" t="s">
        <v>147</v>
      </c>
      <c r="F73" s="40" t="s">
        <v>148</v>
      </c>
      <c r="G73" s="40" t="s">
        <v>149</v>
      </c>
      <c r="H73" s="40" t="s">
        <v>150</v>
      </c>
      <c r="I73" s="40" t="s">
        <v>151</v>
      </c>
      <c r="J73" s="40" t="s">
        <v>152</v>
      </c>
    </row>
    <row r="74">
      <c r="C74" s="41">
        <f>DATE(2026,8,24)</f>
        <v>46258</v>
      </c>
      <c r="D74" s="51"/>
      <c r="E74" s="42"/>
      <c r="F74" s="42"/>
      <c r="G74" s="42"/>
      <c r="H74" s="42"/>
      <c r="I74" s="42"/>
      <c r="J74" s="42"/>
    </row>
    <row r="75">
      <c r="C75" s="43">
        <f t="shared" ref="C75:C80" si="15">C74+1</f>
        <v>46259</v>
      </c>
      <c r="D75" s="44"/>
      <c r="E75" s="44"/>
      <c r="F75" s="44"/>
      <c r="G75" s="44"/>
      <c r="H75" s="44"/>
      <c r="I75" s="44"/>
      <c r="J75" s="44"/>
    </row>
    <row r="76">
      <c r="C76" s="41">
        <f t="shared" si="15"/>
        <v>46260</v>
      </c>
      <c r="D76" s="42"/>
      <c r="E76" s="42"/>
      <c r="F76" s="42"/>
      <c r="G76" s="42"/>
      <c r="H76" s="42"/>
      <c r="I76" s="42"/>
      <c r="J76" s="42"/>
    </row>
    <row r="77">
      <c r="C77" s="43">
        <f t="shared" si="15"/>
        <v>46261</v>
      </c>
      <c r="D77" s="44"/>
      <c r="E77" s="44"/>
      <c r="F77" s="44"/>
      <c r="G77" s="44"/>
      <c r="H77" s="44"/>
      <c r="I77" s="44"/>
      <c r="J77" s="44"/>
    </row>
    <row r="78">
      <c r="C78" s="41">
        <f t="shared" si="15"/>
        <v>46262</v>
      </c>
      <c r="D78" s="42"/>
      <c r="E78" s="42"/>
      <c r="F78" s="42"/>
      <c r="G78" s="42"/>
      <c r="H78" s="42"/>
      <c r="I78" s="42"/>
      <c r="J78" s="42"/>
    </row>
    <row r="79">
      <c r="C79" s="43">
        <f t="shared" si="15"/>
        <v>46263</v>
      </c>
      <c r="D79" s="44"/>
      <c r="E79" s="44"/>
      <c r="F79" s="44"/>
      <c r="G79" s="44"/>
      <c r="H79" s="44"/>
      <c r="I79" s="44"/>
      <c r="J79" s="44"/>
    </row>
    <row r="80">
      <c r="C80" s="41">
        <f t="shared" si="15"/>
        <v>46264</v>
      </c>
      <c r="D80" s="42"/>
      <c r="E80" s="42"/>
      <c r="F80" s="42"/>
      <c r="G80" s="42"/>
      <c r="H80" s="42"/>
      <c r="I80" s="42"/>
      <c r="J80" s="42"/>
    </row>
    <row r="81">
      <c r="C81" s="45" t="s">
        <v>158</v>
      </c>
      <c r="D81" s="46" t="str">
        <f t="shared" ref="D81:J81" si="16">AVERAGE(D74:D80)</f>
        <v>#DIV/0!</v>
      </c>
      <c r="E81" s="46" t="str">
        <f t="shared" si="16"/>
        <v>#DIV/0!</v>
      </c>
      <c r="F81" s="46" t="str">
        <f t="shared" si="16"/>
        <v>#DIV/0!</v>
      </c>
      <c r="G81" s="46" t="str">
        <f t="shared" si="16"/>
        <v>#DIV/0!</v>
      </c>
      <c r="H81" s="46" t="str">
        <f t="shared" si="16"/>
        <v>#DIV/0!</v>
      </c>
      <c r="I81" s="46" t="str">
        <f t="shared" si="16"/>
        <v>#DIV/0!</v>
      </c>
      <c r="J81" s="46" t="str">
        <f t="shared" si="16"/>
        <v>#DIV/0!</v>
      </c>
    </row>
    <row r="82">
      <c r="C82" s="23"/>
      <c r="D82" s="23"/>
      <c r="E82" s="23"/>
      <c r="F82" s="23"/>
      <c r="G82" s="23"/>
      <c r="H82" s="23"/>
      <c r="I82" s="23"/>
      <c r="J82" s="23"/>
    </row>
    <row r="83">
      <c r="C83" s="52"/>
      <c r="D83" s="53"/>
      <c r="E83" s="53"/>
      <c r="F83" s="53"/>
      <c r="G83" s="53"/>
      <c r="H83" s="53"/>
      <c r="I83" s="53"/>
      <c r="J83" s="53"/>
    </row>
    <row r="84">
      <c r="C84" s="54"/>
      <c r="D84" s="23"/>
      <c r="E84" s="23"/>
      <c r="F84" s="23"/>
      <c r="G84" s="23"/>
      <c r="H84" s="23"/>
      <c r="I84" s="23"/>
      <c r="J84" s="23"/>
    </row>
    <row r="85">
      <c r="C85" s="54"/>
      <c r="D85" s="23"/>
      <c r="E85" s="23"/>
      <c r="F85" s="23"/>
      <c r="G85" s="23"/>
      <c r="H85" s="23"/>
      <c r="I85" s="23"/>
      <c r="J85" s="23"/>
    </row>
    <row r="86">
      <c r="C86" s="54"/>
      <c r="D86" s="23"/>
      <c r="E86" s="23"/>
      <c r="F86" s="23"/>
      <c r="G86" s="23"/>
      <c r="H86" s="23"/>
      <c r="I86" s="23"/>
      <c r="J86" s="23"/>
    </row>
    <row r="87">
      <c r="C87" s="54"/>
      <c r="D87" s="23"/>
      <c r="E87" s="23"/>
      <c r="F87" s="23"/>
      <c r="G87" s="23"/>
      <c r="H87" s="23"/>
      <c r="I87" s="23"/>
      <c r="J87" s="23"/>
    </row>
    <row r="88">
      <c r="C88" s="54"/>
      <c r="D88" s="23"/>
      <c r="E88" s="23"/>
      <c r="F88" s="23"/>
      <c r="G88" s="23"/>
      <c r="H88" s="23"/>
      <c r="I88" s="23"/>
      <c r="J88" s="23"/>
    </row>
    <row r="89">
      <c r="C89" s="54"/>
      <c r="D89" s="23"/>
      <c r="E89" s="23"/>
      <c r="F89" s="23"/>
      <c r="G89" s="23"/>
      <c r="H89" s="23"/>
      <c r="I89" s="23"/>
      <c r="J89" s="23"/>
    </row>
    <row r="90">
      <c r="C90" s="54"/>
      <c r="D90" s="23"/>
      <c r="E90" s="23"/>
      <c r="F90" s="23"/>
      <c r="G90" s="23"/>
      <c r="H90" s="23"/>
      <c r="I90" s="23"/>
      <c r="J90" s="23"/>
    </row>
    <row r="91">
      <c r="C91" s="55"/>
      <c r="D91" s="56"/>
      <c r="E91" s="56"/>
      <c r="F91" s="56"/>
      <c r="G91" s="56"/>
      <c r="H91" s="56"/>
      <c r="I91" s="56"/>
      <c r="J91" s="56"/>
    </row>
    <row r="92">
      <c r="C92" s="23"/>
      <c r="D92" s="23"/>
      <c r="E92" s="23"/>
      <c r="F92" s="23"/>
      <c r="G92" s="23"/>
      <c r="H92" s="23"/>
      <c r="I92" s="23"/>
      <c r="J92" s="23"/>
    </row>
    <row r="93">
      <c r="C93" s="52"/>
      <c r="D93" s="53"/>
      <c r="E93" s="53"/>
      <c r="F93" s="53"/>
      <c r="G93" s="53"/>
      <c r="H93" s="53"/>
      <c r="I93" s="53"/>
      <c r="J93" s="53"/>
    </row>
    <row r="94">
      <c r="C94" s="54"/>
      <c r="D94" s="23"/>
      <c r="E94" s="23"/>
      <c r="F94" s="23"/>
      <c r="G94" s="23"/>
      <c r="H94" s="23"/>
      <c r="I94" s="23"/>
      <c r="J94" s="23"/>
    </row>
    <row r="95">
      <c r="C95" s="54"/>
      <c r="D95" s="23"/>
      <c r="E95" s="23"/>
      <c r="F95" s="23"/>
      <c r="G95" s="23"/>
      <c r="H95" s="23"/>
      <c r="I95" s="23"/>
      <c r="J95" s="23"/>
    </row>
    <row r="96">
      <c r="C96" s="54"/>
      <c r="D96" s="23"/>
      <c r="E96" s="23"/>
      <c r="F96" s="23"/>
      <c r="G96" s="23"/>
      <c r="H96" s="23"/>
      <c r="I96" s="23"/>
      <c r="J96" s="23"/>
    </row>
    <row r="97">
      <c r="C97" s="54"/>
      <c r="D97" s="23"/>
      <c r="E97" s="23"/>
      <c r="F97" s="23"/>
      <c r="G97" s="23"/>
      <c r="H97" s="23"/>
      <c r="I97" s="23"/>
      <c r="J97" s="23"/>
    </row>
    <row r="98">
      <c r="C98" s="54"/>
      <c r="D98" s="23"/>
      <c r="E98" s="23"/>
      <c r="F98" s="23"/>
      <c r="G98" s="23"/>
      <c r="H98" s="23"/>
      <c r="I98" s="23"/>
      <c r="J98" s="23"/>
    </row>
    <row r="99">
      <c r="C99" s="54"/>
      <c r="D99" s="23"/>
      <c r="E99" s="23"/>
      <c r="F99" s="23"/>
      <c r="G99" s="23"/>
      <c r="H99" s="23"/>
      <c r="I99" s="23"/>
      <c r="J99" s="23"/>
    </row>
    <row r="100">
      <c r="C100" s="54"/>
      <c r="D100" s="23"/>
      <c r="E100" s="23"/>
      <c r="F100" s="23"/>
      <c r="G100" s="23"/>
      <c r="H100" s="23"/>
      <c r="I100" s="23"/>
      <c r="J100" s="23"/>
    </row>
    <row r="101">
      <c r="C101" s="55"/>
      <c r="D101" s="56"/>
      <c r="E101" s="56"/>
      <c r="F101" s="56"/>
      <c r="G101" s="56"/>
      <c r="H101" s="56"/>
      <c r="I101" s="56"/>
      <c r="J101" s="56"/>
    </row>
    <row r="102">
      <c r="C102" s="23"/>
      <c r="D102" s="23"/>
      <c r="E102" s="23"/>
      <c r="F102" s="23"/>
      <c r="G102" s="23"/>
      <c r="H102" s="23"/>
      <c r="I102" s="23"/>
      <c r="J102" s="23"/>
    </row>
    <row r="103">
      <c r="C103" s="52"/>
      <c r="D103" s="53"/>
      <c r="E103" s="53"/>
      <c r="F103" s="53"/>
      <c r="G103" s="53"/>
      <c r="H103" s="53"/>
      <c r="I103" s="53"/>
      <c r="J103" s="53"/>
    </row>
    <row r="104">
      <c r="C104" s="54"/>
      <c r="D104" s="23"/>
      <c r="E104" s="23"/>
      <c r="F104" s="23"/>
      <c r="G104" s="23"/>
      <c r="H104" s="23"/>
      <c r="I104" s="23"/>
      <c r="J104" s="23"/>
    </row>
    <row r="105">
      <c r="C105" s="54"/>
      <c r="D105" s="23"/>
      <c r="E105" s="23"/>
      <c r="F105" s="23"/>
      <c r="G105" s="23"/>
      <c r="H105" s="23"/>
      <c r="I105" s="23"/>
      <c r="J105" s="23"/>
    </row>
    <row r="106">
      <c r="C106" s="54"/>
      <c r="D106" s="23"/>
      <c r="E106" s="23"/>
      <c r="F106" s="23"/>
      <c r="G106" s="23"/>
      <c r="H106" s="23"/>
      <c r="I106" s="23"/>
      <c r="J106" s="23"/>
    </row>
    <row r="107">
      <c r="C107" s="54"/>
      <c r="D107" s="23"/>
      <c r="E107" s="23"/>
      <c r="F107" s="23"/>
      <c r="G107" s="23"/>
      <c r="H107" s="23"/>
      <c r="I107" s="23"/>
      <c r="J107" s="23"/>
    </row>
    <row r="108">
      <c r="C108" s="54"/>
      <c r="D108" s="23"/>
      <c r="E108" s="23"/>
      <c r="F108" s="23"/>
      <c r="G108" s="23"/>
      <c r="H108" s="23"/>
      <c r="I108" s="23"/>
      <c r="J108" s="23"/>
    </row>
    <row r="109">
      <c r="C109" s="54"/>
      <c r="D109" s="23"/>
      <c r="E109" s="23"/>
      <c r="F109" s="23"/>
      <c r="G109" s="23"/>
      <c r="H109" s="23"/>
      <c r="I109" s="23"/>
      <c r="J109" s="23"/>
    </row>
    <row r="110">
      <c r="C110" s="54"/>
      <c r="D110" s="23"/>
      <c r="E110" s="23"/>
      <c r="F110" s="23"/>
      <c r="G110" s="23"/>
      <c r="H110" s="23"/>
      <c r="I110" s="23"/>
      <c r="J110" s="23"/>
    </row>
    <row r="111">
      <c r="C111" s="55"/>
      <c r="D111" s="56"/>
      <c r="E111" s="56"/>
      <c r="F111" s="56"/>
      <c r="G111" s="56"/>
      <c r="H111" s="56"/>
      <c r="I111" s="56"/>
      <c r="J111" s="56"/>
    </row>
    <row r="112">
      <c r="C112" s="23"/>
      <c r="D112" s="23"/>
      <c r="E112" s="23"/>
      <c r="F112" s="23"/>
      <c r="G112" s="23"/>
      <c r="H112" s="23"/>
      <c r="I112" s="23"/>
      <c r="J112" s="23"/>
    </row>
    <row r="113">
      <c r="C113" s="52"/>
      <c r="D113" s="53"/>
      <c r="E113" s="53"/>
      <c r="F113" s="53"/>
      <c r="G113" s="53"/>
      <c r="H113" s="53"/>
      <c r="I113" s="53"/>
      <c r="J113" s="53"/>
    </row>
    <row r="114">
      <c r="C114" s="54"/>
      <c r="D114" s="23"/>
      <c r="E114" s="23"/>
      <c r="F114" s="23"/>
      <c r="G114" s="23"/>
      <c r="H114" s="23"/>
      <c r="I114" s="23"/>
      <c r="J114" s="23"/>
    </row>
    <row r="115">
      <c r="C115" s="54"/>
      <c r="D115" s="23"/>
      <c r="E115" s="23"/>
      <c r="F115" s="23"/>
      <c r="G115" s="23"/>
      <c r="H115" s="23"/>
      <c r="I115" s="23"/>
      <c r="J115" s="23"/>
    </row>
    <row r="116">
      <c r="C116" s="54"/>
      <c r="D116" s="23"/>
      <c r="E116" s="23"/>
      <c r="F116" s="23"/>
      <c r="G116" s="23"/>
      <c r="H116" s="23"/>
      <c r="I116" s="23"/>
      <c r="J116" s="23"/>
    </row>
    <row r="117">
      <c r="C117" s="54"/>
      <c r="D117" s="23"/>
      <c r="E117" s="23"/>
      <c r="F117" s="23"/>
      <c r="G117" s="23"/>
      <c r="H117" s="23"/>
      <c r="I117" s="23"/>
      <c r="J117" s="23"/>
    </row>
    <row r="118">
      <c r="C118" s="54"/>
      <c r="D118" s="23"/>
      <c r="E118" s="23"/>
      <c r="F118" s="23"/>
      <c r="G118" s="23"/>
      <c r="H118" s="23"/>
      <c r="I118" s="23"/>
      <c r="J118" s="23"/>
    </row>
    <row r="119">
      <c r="C119" s="54"/>
      <c r="D119" s="23"/>
      <c r="E119" s="23"/>
      <c r="F119" s="23"/>
      <c r="G119" s="23"/>
      <c r="H119" s="23"/>
      <c r="I119" s="23"/>
      <c r="J119" s="23"/>
    </row>
    <row r="120">
      <c r="C120" s="54"/>
      <c r="D120" s="23"/>
      <c r="E120" s="23"/>
      <c r="F120" s="23"/>
      <c r="G120" s="23"/>
      <c r="H120" s="23"/>
      <c r="I120" s="23"/>
      <c r="J120" s="23"/>
    </row>
    <row r="121">
      <c r="C121" s="55"/>
      <c r="D121" s="56"/>
      <c r="E121" s="56"/>
      <c r="F121" s="56"/>
      <c r="G121" s="56"/>
      <c r="H121" s="56"/>
      <c r="I121" s="56"/>
      <c r="J121" s="56"/>
    </row>
    <row r="122">
      <c r="C122" s="23"/>
      <c r="D122" s="23"/>
      <c r="E122" s="23"/>
      <c r="F122" s="23"/>
      <c r="G122" s="23"/>
      <c r="H122" s="23"/>
      <c r="I122" s="23"/>
      <c r="J122" s="23"/>
    </row>
    <row r="123">
      <c r="C123" s="52"/>
      <c r="D123" s="53"/>
      <c r="E123" s="53"/>
      <c r="F123" s="53"/>
      <c r="G123" s="53"/>
      <c r="H123" s="53"/>
      <c r="I123" s="53"/>
      <c r="J123" s="53"/>
    </row>
    <row r="124">
      <c r="C124" s="54"/>
      <c r="D124" s="23"/>
      <c r="E124" s="23"/>
      <c r="F124" s="23"/>
      <c r="G124" s="23"/>
      <c r="H124" s="23"/>
      <c r="I124" s="23"/>
      <c r="J124" s="23"/>
    </row>
    <row r="125">
      <c r="C125" s="54"/>
      <c r="D125" s="23"/>
      <c r="E125" s="23"/>
      <c r="F125" s="23"/>
      <c r="G125" s="23"/>
      <c r="H125" s="23"/>
      <c r="I125" s="23"/>
      <c r="J125" s="23"/>
    </row>
    <row r="126">
      <c r="C126" s="54"/>
      <c r="D126" s="23"/>
      <c r="E126" s="23"/>
      <c r="F126" s="23"/>
      <c r="G126" s="23"/>
      <c r="H126" s="23"/>
      <c r="I126" s="23"/>
      <c r="J126" s="23"/>
    </row>
    <row r="127">
      <c r="C127" s="54"/>
      <c r="D127" s="23"/>
      <c r="E127" s="23"/>
      <c r="F127" s="23"/>
      <c r="G127" s="23"/>
      <c r="H127" s="23"/>
      <c r="I127" s="23"/>
      <c r="J127" s="23"/>
    </row>
    <row r="128">
      <c r="C128" s="54"/>
      <c r="D128" s="23"/>
      <c r="E128" s="23"/>
      <c r="F128" s="23"/>
      <c r="G128" s="23"/>
      <c r="H128" s="23"/>
      <c r="I128" s="23"/>
      <c r="J128" s="23"/>
    </row>
    <row r="129">
      <c r="C129" s="54"/>
      <c r="D129" s="23"/>
      <c r="E129" s="23"/>
      <c r="F129" s="23"/>
      <c r="G129" s="23"/>
      <c r="H129" s="23"/>
      <c r="I129" s="23"/>
      <c r="J129" s="23"/>
    </row>
    <row r="130">
      <c r="C130" s="54"/>
      <c r="D130" s="23"/>
      <c r="E130" s="23"/>
      <c r="F130" s="23"/>
      <c r="G130" s="23"/>
      <c r="H130" s="23"/>
      <c r="I130" s="23"/>
      <c r="J130" s="23"/>
    </row>
    <row r="131">
      <c r="C131" s="55"/>
      <c r="D131" s="56"/>
      <c r="E131" s="56"/>
      <c r="F131" s="56"/>
      <c r="G131" s="56"/>
      <c r="H131" s="56"/>
      <c r="I131" s="56"/>
      <c r="J131" s="56"/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